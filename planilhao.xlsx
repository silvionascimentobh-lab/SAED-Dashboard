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tcdf.sharepoint.com/sites/SAED/Shared Documents/General/SAED/Controles/"/>
    </mc:Choice>
  </mc:AlternateContent>
  <xr:revisionPtr revIDLastSave="5228" documentId="13_ncr:1_{C887EC22-7CD1-4717-84BE-7303F42C5C0A}" xr6:coauthVersionLast="47" xr6:coauthVersionMax="47" xr10:uidLastSave="{9ACBC5C2-D930-4F0C-97C0-571D91463924}"/>
  <bookViews>
    <workbookView xWindow="28680" yWindow="-120" windowWidth="29040" windowHeight="15720" firstSheet="1" activeTab="1" xr2:uid="{00000000-000D-0000-FFFF-FFFF00000000}"/>
  </bookViews>
  <sheets>
    <sheet name="Ações InCompany" sheetId="3" r:id="rId1"/>
    <sheet name="Cad. Instrutores" sheetId="28" r:id="rId2"/>
    <sheet name="GECC 2026" sheetId="20" r:id="rId3"/>
    <sheet name="Dashboard 2026" sheetId="26" r:id="rId4"/>
    <sheet name="PlanoCap" sheetId="5" state="hidden" r:id="rId5"/>
    <sheet name="Validação Dados" sheetId="4" state="hidden" r:id="rId6"/>
    <sheet name="PlanoCap2627" sheetId="14" state="hidden" r:id="rId7"/>
    <sheet name="Dashboard Maratonas" sheetId="27" r:id="rId8"/>
    <sheet name="Dashboard GECC 2026" sheetId="23" r:id="rId9"/>
  </sheets>
  <definedNames>
    <definedName name="_xlnm._FilterDatabase" localSheetId="0" hidden="1">'Ações InCompany'!$A$1:$A$748</definedName>
    <definedName name="_xlnm.Print_Area" localSheetId="0">'Ações InCompany'!$A$1:$T$676</definedName>
  </definedNames>
  <calcPr calcId="191028"/>
  <customWorkbookViews>
    <customWorkbookView name="Filtro 41" guid="{CA3FE984-959D-4FD1-AD51-F273057287D0}" maximized="1" windowWidth="0" windowHeight="0" activeSheetId="0"/>
    <customWorkbookView name="Filtro 40" guid="{32D42168-6533-486B-BA4F-1FCBEE1D5E70}" maximized="1" windowWidth="0" windowHeight="0" activeSheetId="0"/>
    <customWorkbookView name="Filtro 43" guid="{983434C3-FA2A-4410-B75A-EB842981FB7E}" maximized="1" windowWidth="0" windowHeight="0" activeSheetId="0"/>
    <customWorkbookView name="Filtro 42" guid="{66204134-7843-4E4D-9132-12589B1C9904}" maximized="1" windowWidth="0" windowHeight="0" activeSheetId="0"/>
    <customWorkbookView name="Filtro 45" guid="{37A81383-EB82-4415-9CA7-3B544A1BA6DF}" maximized="1" windowWidth="0" windowHeight="0" activeSheetId="0"/>
    <customWorkbookView name="Filtro 44" guid="{466B00F4-CD06-4459-9EAD-5E099599461D}" maximized="1" windowWidth="0" windowHeight="0" activeSheetId="0"/>
    <customWorkbookView name="Filtro 47" guid="{B3051128-E594-4E84-A90F-3E0AA1920164}" maximized="1" windowWidth="0" windowHeight="0" activeSheetId="0"/>
    <customWorkbookView name="Filtro 46" guid="{426752F7-EFAA-494A-8C44-3FE740F51102}" maximized="1" windowWidth="0" windowHeight="0" activeSheetId="0"/>
    <customWorkbookView name="Filtro 49" guid="{888656D7-51D7-4D86-82B1-69398E74949E}" maximized="1" windowWidth="0" windowHeight="0" activeSheetId="0"/>
    <customWorkbookView name="Filtro 48" guid="{437C4520-960F-4EE8-BC29-5EAC5035FDE9}" maximized="1" windowWidth="0" windowHeight="0" activeSheetId="0"/>
    <customWorkbookView name="Filtro 3" guid="{34EB6BDD-DB10-46C3-8070-38A1FF20F467}" maximized="1" windowWidth="0" windowHeight="0" activeSheetId="0"/>
    <customWorkbookView name="Filtro 2" guid="{DC0F290D-0110-4230-A92A-0C9FF5FA3573}" maximized="1" windowWidth="0" windowHeight="0" activeSheetId="0"/>
    <customWorkbookView name="Filtro 1" guid="{69BC16F3-55B0-4A0A-9007-3B0C4D012204}" maximized="1" windowWidth="0" windowHeight="0" activeSheetId="0"/>
    <customWorkbookView name="Filtro 7" guid="{E936EEA7-993F-4552-BBDF-E1DB0091DFDE}" maximized="1" windowWidth="0" windowHeight="0" activeSheetId="0"/>
    <customWorkbookView name="Filtro 6" guid="{6A040256-BBC3-4938-A5D6-D77105714F23}" maximized="1" windowWidth="0" windowHeight="0" activeSheetId="0"/>
    <customWorkbookView name="Filtro 5" guid="{1C752AA4-ECD6-4155-AAB6-DB036719A0D6}" maximized="1" windowWidth="0" windowHeight="0" activeSheetId="0"/>
    <customWorkbookView name="Filtro 4" guid="{091F3115-1E32-40D6-93A0-F16A7E814F96}" maximized="1" windowWidth="0" windowHeight="0" activeSheetId="0"/>
    <customWorkbookView name="Filtro 30" guid="{2AB5F1EE-8485-44BA-A278-7AE3DE9CF145}" maximized="1" windowWidth="0" windowHeight="0" activeSheetId="0"/>
    <customWorkbookView name="Filtro 32" guid="{265C295C-DFB6-4951-B01D-86C18934578C}" maximized="1" windowWidth="0" windowHeight="0" activeSheetId="0"/>
    <customWorkbookView name="Filtro 31" guid="{678EC2BA-6745-461E-BAC1-D09F77FA1062}" maximized="1" windowWidth="0" windowHeight="0" activeSheetId="0"/>
    <customWorkbookView name="Filtro 34" guid="{C7C27644-1A5D-4074-B300-764545BFC964}" maximized="1" windowWidth="0" windowHeight="0" activeSheetId="0"/>
    <customWorkbookView name="Filtro 33" guid="{0C325FD1-5773-4650-8B0D-3332A38760DC}" maximized="1" windowWidth="0" windowHeight="0" activeSheetId="0"/>
    <customWorkbookView name="Filtro 36" guid="{DA4468DA-23DF-4CE6-A7A1-D96801F812A5}" maximized="1" windowWidth="0" windowHeight="0" activeSheetId="0"/>
    <customWorkbookView name="Filtro 35" guid="{BD49A265-64CA-4E25-B77B-BEA5B216E8B0}" maximized="1" windowWidth="0" windowHeight="0" activeSheetId="0"/>
    <customWorkbookView name="Filtro 38" guid="{6F970FA6-35FA-43B5-8000-ED45D53ABBFB}" maximized="1" windowWidth="0" windowHeight="0" activeSheetId="0"/>
    <customWorkbookView name="Filtro 37" guid="{AB062F27-A6C8-47F1-BE53-0FF9CA1DEF53}" maximized="1" windowWidth="0" windowHeight="0" activeSheetId="0"/>
    <customWorkbookView name="Filtro 39" guid="{AA5A0339-5E84-4A56-8746-33FE6401E32F}" maximized="1" windowWidth="0" windowHeight="0" activeSheetId="0"/>
    <customWorkbookView name="Filtro 19" guid="{F8DFD977-D486-42A2-ADDC-71E97C40849F}" maximized="1" windowWidth="0" windowHeight="0" activeSheetId="0"/>
    <customWorkbookView name="Filtro 61" guid="{02C55D31-8E27-44A2-A753-221185C3D450}" maximized="1" windowWidth="0" windowHeight="0" activeSheetId="0"/>
    <customWorkbookView name="Filtro 60" guid="{3A0B7064-EFB6-42D3-AA59-F49B2C2E28A3}" maximized="1" windowWidth="0" windowHeight="0" activeSheetId="0"/>
    <customWorkbookView name="Filtro 62" guid="{BF3829F5-7BD2-40A9-9D59-6FA51DE0B5DA}" maximized="1" windowWidth="0" windowHeight="0" activeSheetId="0"/>
    <customWorkbookView name="Filtro 21" guid="{A3242535-E588-41A5-A488-2E120680CF6E}" maximized="1" windowWidth="0" windowHeight="0" activeSheetId="0"/>
    <customWorkbookView name="Filtro 20" guid="{70652B29-1ABA-485A-9A80-A46DCDFDCA82}" maximized="1" windowWidth="0" windowHeight="0" activeSheetId="0"/>
    <customWorkbookView name="Filtro 23" guid="{A1C80D12-5F51-43D3-B26D-C4E8E80E8CF2}" maximized="1" windowWidth="0" windowHeight="0" activeSheetId="0"/>
    <customWorkbookView name="Filtro 22" guid="{371F802A-A094-48E0-BF99-0747C34D37B9}" maximized="1" windowWidth="0" windowHeight="0" activeSheetId="0"/>
    <customWorkbookView name="Filtro 25" guid="{743E0231-3395-43B3-ADCA-F3A128F1B83A}" maximized="1" windowWidth="0" windowHeight="0" activeSheetId="0"/>
    <customWorkbookView name="Filtro 9" guid="{2AF3BD90-56F5-45E9-AAA2-03E540B72567}" maximized="1" windowWidth="0" windowHeight="0" activeSheetId="0"/>
    <customWorkbookView name="Filtro 24" guid="{9A493B68-EB00-440B-8491-378C02F67A40}" maximized="1" windowWidth="0" windowHeight="0" activeSheetId="0"/>
    <customWorkbookView name="Filtro 8" guid="{7F93445C-3064-44FB-ABC5-E30DCF77756E}" maximized="1" windowWidth="0" windowHeight="0" activeSheetId="0"/>
    <customWorkbookView name="Filtro 27" guid="{23C9FC25-18F4-47EF-A3B5-759DEC27F9E9}" maximized="1" windowWidth="0" windowHeight="0" activeSheetId="0"/>
    <customWorkbookView name="Filtro 26" guid="{3B6786E1-C731-4815-9553-455D14481DD3}" maximized="1" windowWidth="0" windowHeight="0" activeSheetId="0"/>
    <customWorkbookView name="Filtro 29" guid="{B5CEFD59-C042-4547-AAFF-F62EC921EEC6}" maximized="1" windowWidth="0" windowHeight="0" activeSheetId="0"/>
    <customWorkbookView name="Filtro 28" guid="{1AB13F6B-0D74-43EC-B774-8B52A94E0814}" maximized="1" windowWidth="0" windowHeight="0" activeSheetId="0"/>
    <customWorkbookView name="Filtro 50" guid="{5480ECB2-55D1-41C0-8514-F0684F861D24}" maximized="1" windowWidth="0" windowHeight="0" activeSheetId="0"/>
    <customWorkbookView name="Filtro 52" guid="{560766DC-06F5-422D-B190-641D8FE5A38D}" maximized="1" windowWidth="0" windowHeight="0" activeSheetId="0"/>
    <customWorkbookView name="Filtro 51" guid="{0F15AC02-A38D-4E8A-8C4B-DD7F2868099F}" maximized="1" windowWidth="0" windowHeight="0" activeSheetId="0"/>
    <customWorkbookView name="Filtro 54" guid="{FB245C5C-9A8F-416D-A134-0975CF96E595}" maximized="1" windowWidth="0" windowHeight="0" activeSheetId="0"/>
    <customWorkbookView name="Filtro 10" guid="{633FA869-BC39-409D-BF13-F2C3CBB9EA93}" maximized="1" windowWidth="0" windowHeight="0" activeSheetId="0"/>
    <customWorkbookView name="Filtro 53" guid="{2BB93E5B-65F1-4C09-BB9E-66343F5B3E82}" maximized="1" windowWidth="0" windowHeight="0" activeSheetId="0"/>
    <customWorkbookView name="Filtro 56" guid="{1105711C-AABE-4812-8827-ED6089DCF11E}" maximized="1" windowWidth="0" windowHeight="0" activeSheetId="0"/>
    <customWorkbookView name="Filtro 12" guid="{19CACD21-710C-4D14-9ACE-063162C7120B}" maximized="1" windowWidth="0" windowHeight="0" activeSheetId="0"/>
    <customWorkbookView name="Filtro 55" guid="{D2A89341-BB3B-405B-B324-3BE49BB6E042}" maximized="1" windowWidth="0" windowHeight="0" activeSheetId="0"/>
    <customWorkbookView name="Filtro 11" guid="{0904EB7B-8DCA-4D50-AD8B-0A671CE637AF}" maximized="1" windowWidth="0" windowHeight="0" activeSheetId="0"/>
    <customWorkbookView name="Filtro 58" guid="{DA1621F1-9CA5-43AE-9A42-AC9D36F85B7D}" maximized="1" windowWidth="0" windowHeight="0" activeSheetId="0"/>
    <customWorkbookView name="Filtro 14" guid="{ED877901-4C49-488E-89E7-42CF1935CA6E}" maximized="1" windowWidth="0" windowHeight="0" activeSheetId="0"/>
    <customWorkbookView name="Filtro 13" guid="{DF0241CF-B7E5-4FA7-B0C8-FA54D26D77D7}" maximized="1" windowWidth="0" windowHeight="0" activeSheetId="0"/>
    <customWorkbookView name="Filtro 57" guid="{6BA1C58C-C21F-47F7-B022-0FEA98904E5F}" maximized="1" windowWidth="0" windowHeight="0" activeSheetId="0"/>
    <customWorkbookView name="Filtro 16" guid="{9C7682D3-C31F-4FE6-8766-BC418D960F41}" maximized="1" windowWidth="0" windowHeight="0" activeSheetId="0"/>
    <customWorkbookView name="Filtro 59" guid="{B2B68F91-0ADB-423D-BEF9-757DCA540FDD}" maximized="1" windowWidth="0" windowHeight="0" activeSheetId="0"/>
    <customWorkbookView name="Filtro 15" guid="{DDC390A9-8BCC-4E1B-8EE8-FEFD20C963E8}" maximized="1" windowWidth="0" windowHeight="0" activeSheetId="0"/>
    <customWorkbookView name="Filtro 18" guid="{990EC2BE-89D2-41CF-8152-E21202B6F8D8}" maximized="1" windowWidth="0" windowHeight="0" activeSheetId="0"/>
    <customWorkbookView name="Filtro 17" guid="{77C5030A-63E1-4109-A4D5-32A3FB7E122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81" i="3" l="1"/>
  <c r="A684" i="3"/>
  <c r="D105" i="23"/>
  <c r="D104" i="23"/>
  <c r="E104" i="23"/>
  <c r="D103" i="23"/>
  <c r="E103" i="23"/>
  <c r="D102" i="23"/>
  <c r="E102" i="23"/>
  <c r="D101" i="23"/>
  <c r="E101" i="23"/>
  <c r="D100" i="23"/>
  <c r="E100" i="23"/>
  <c r="D99" i="23"/>
  <c r="E99" i="23"/>
  <c r="D98" i="23"/>
  <c r="E98" i="23"/>
  <c r="D97" i="23"/>
  <c r="E97" i="23"/>
  <c r="D96" i="23"/>
  <c r="E96" i="23"/>
  <c r="D95" i="23"/>
  <c r="E95" i="23"/>
  <c r="D94" i="23"/>
  <c r="E94" i="23"/>
  <c r="D93" i="23"/>
  <c r="E93" i="23"/>
  <c r="D92" i="23"/>
  <c r="E92" i="23"/>
  <c r="D91" i="23"/>
  <c r="E91" i="23"/>
  <c r="D90" i="23"/>
  <c r="E90" i="23"/>
  <c r="D89" i="23"/>
  <c r="E89" i="23"/>
  <c r="D88" i="23"/>
  <c r="E88" i="23"/>
  <c r="D87" i="23"/>
  <c r="E87" i="23"/>
  <c r="D86" i="23"/>
  <c r="E86" i="23"/>
  <c r="D85" i="23"/>
  <c r="E85" i="23"/>
  <c r="D84" i="23"/>
  <c r="E84" i="23"/>
  <c r="D83" i="23"/>
  <c r="E83" i="23"/>
  <c r="D82" i="23"/>
  <c r="E82" i="23"/>
  <c r="D81" i="23"/>
  <c r="E81" i="23"/>
  <c r="D80" i="23"/>
  <c r="E80" i="23"/>
  <c r="D79" i="23"/>
  <c r="E79" i="23"/>
  <c r="D78" i="23"/>
  <c r="E78" i="23"/>
  <c r="D77" i="23"/>
  <c r="E77" i="23"/>
  <c r="D76" i="23"/>
  <c r="E76" i="23"/>
  <c r="D75" i="23"/>
  <c r="E75" i="23"/>
  <c r="D74" i="23"/>
  <c r="E74" i="23"/>
  <c r="D73" i="23"/>
  <c r="E73" i="23"/>
  <c r="D72" i="23"/>
  <c r="E72" i="23"/>
  <c r="D71" i="23"/>
  <c r="E71" i="23"/>
  <c r="D70" i="23"/>
  <c r="E70" i="23"/>
  <c r="D69" i="23"/>
  <c r="E69" i="23"/>
  <c r="D68" i="23"/>
  <c r="E68" i="23"/>
  <c r="D67" i="23"/>
  <c r="E67" i="23"/>
  <c r="D66" i="23"/>
  <c r="E66" i="23"/>
  <c r="D65" i="23"/>
  <c r="E65" i="23"/>
  <c r="D64" i="23"/>
  <c r="E64" i="23"/>
  <c r="D63" i="23"/>
  <c r="E63" i="23"/>
  <c r="D62" i="23"/>
  <c r="E62" i="23"/>
  <c r="D61" i="23"/>
  <c r="E61" i="23"/>
  <c r="D60" i="23"/>
  <c r="E60" i="23"/>
  <c r="D59" i="23"/>
  <c r="E59" i="23"/>
  <c r="D58" i="23"/>
  <c r="E58" i="23"/>
  <c r="D57" i="23"/>
  <c r="E57" i="23"/>
  <c r="D56" i="23"/>
  <c r="E56" i="23"/>
  <c r="D55" i="23"/>
  <c r="E55" i="23"/>
  <c r="D54" i="23"/>
  <c r="E54" i="23"/>
  <c r="D53" i="23"/>
  <c r="E53" i="23"/>
  <c r="D52" i="23"/>
  <c r="E52" i="23"/>
  <c r="D51" i="23"/>
  <c r="E51" i="23"/>
  <c r="D50" i="23"/>
  <c r="E50" i="23"/>
  <c r="D49" i="23"/>
  <c r="E49" i="23"/>
  <c r="D48" i="23"/>
  <c r="E48" i="23"/>
  <c r="AE33" i="20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R683" i="3"/>
  <c r="R682" i="3"/>
  <c r="R677" i="3"/>
  <c r="R679" i="3"/>
  <c r="R676" i="3"/>
  <c r="R672" i="3"/>
  <c r="C43" i="26"/>
  <c r="B43" i="26"/>
  <c r="C42" i="26"/>
  <c r="B42" i="26"/>
  <c r="C41" i="26"/>
  <c r="B41" i="26"/>
  <c r="C40" i="26"/>
  <c r="B40" i="26"/>
  <c r="A5" i="27"/>
  <c r="A8" i="27" a="1"/>
  <c r="C44" i="26"/>
  <c r="B44" i="26"/>
  <c r="C39" i="26"/>
  <c r="B39" i="26"/>
  <c r="C38" i="26"/>
  <c r="B38" i="26"/>
  <c r="C37" i="26"/>
  <c r="B37" i="26"/>
  <c r="C36" i="26"/>
  <c r="B36" i="26"/>
  <c r="C35" i="26"/>
  <c r="B35" i="26"/>
  <c r="C34" i="26"/>
  <c r="B34" i="26"/>
  <c r="C33" i="26"/>
  <c r="B33" i="26"/>
  <c r="E13" i="26"/>
  <c r="E12" i="26"/>
  <c r="E11" i="26"/>
  <c r="B13" i="26"/>
  <c r="B12" i="26"/>
  <c r="B11" i="26"/>
  <c r="G5" i="26"/>
  <c r="D5" i="26"/>
  <c r="A5" i="26"/>
  <c r="R684" i="3"/>
  <c r="R680" i="3"/>
  <c r="R675" i="3"/>
  <c r="R678" i="3"/>
  <c r="R674" i="3"/>
  <c r="R673" i="3"/>
  <c r="R671" i="3"/>
  <c r="R668" i="3"/>
  <c r="R667" i="3"/>
  <c r="R666" i="3"/>
  <c r="R665" i="3"/>
  <c r="R664" i="3"/>
  <c r="R663" i="3"/>
  <c r="R662" i="3"/>
  <c r="R655" i="3"/>
  <c r="R653" i="3"/>
  <c r="R652" i="3"/>
  <c r="R651" i="3"/>
  <c r="R649" i="3"/>
  <c r="R648" i="3"/>
  <c r="R647" i="3"/>
  <c r="R646" i="3"/>
  <c r="R645" i="3"/>
  <c r="R644" i="3"/>
  <c r="R643" i="3"/>
  <c r="R642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6" i="3"/>
  <c r="R606" i="3"/>
  <c r="R604" i="3"/>
  <c r="R603" i="3"/>
  <c r="R599" i="3"/>
  <c r="R574" i="3"/>
  <c r="R566" i="3"/>
  <c r="R538" i="3"/>
  <c r="R508" i="3"/>
  <c r="R456" i="3"/>
  <c r="R434" i="3"/>
  <c r="R410" i="3"/>
  <c r="R660" i="3"/>
  <c r="R661" i="3"/>
  <c r="R641" i="3"/>
  <c r="R654" i="3"/>
  <c r="R656" i="3"/>
  <c r="R657" i="3"/>
  <c r="R658" i="3"/>
  <c r="R659" i="3"/>
  <c r="R650" i="3"/>
  <c r="L644" i="3"/>
  <c r="R295" i="3"/>
  <c r="R286" i="3"/>
  <c r="R610" i="3"/>
  <c r="R618" i="3"/>
  <c r="R611" i="3"/>
  <c r="R613" i="3"/>
  <c r="R607" i="3"/>
  <c r="R591" i="3"/>
  <c r="R584" i="3"/>
  <c r="R576" i="3"/>
  <c r="R586" i="3"/>
  <c r="R579" i="3"/>
  <c r="R578" i="3"/>
  <c r="R557" i="3"/>
  <c r="R556" i="3"/>
  <c r="R555" i="3"/>
  <c r="R552" i="3"/>
  <c r="R548" i="3"/>
  <c r="R542" i="3"/>
  <c r="R598" i="3"/>
  <c r="R596" i="3"/>
  <c r="R595" i="3"/>
  <c r="R612" i="3"/>
  <c r="R590" i="3"/>
  <c r="R592" i="3"/>
  <c r="R588" i="3"/>
  <c r="R581" i="3"/>
  <c r="R589" i="3"/>
  <c r="R585" i="3"/>
  <c r="R587" i="3"/>
  <c r="R570" i="3"/>
  <c r="R582" i="3"/>
  <c r="R580" i="3"/>
  <c r="R577" i="3"/>
  <c r="R572" i="3"/>
  <c r="R571" i="3"/>
  <c r="R567" i="3"/>
  <c r="R565" i="3"/>
  <c r="R560" i="3"/>
  <c r="R558" i="3"/>
  <c r="R554" i="3"/>
  <c r="R551" i="3"/>
  <c r="R550" i="3"/>
  <c r="R546" i="3"/>
  <c r="R547" i="3"/>
  <c r="R544" i="3"/>
  <c r="R543" i="3"/>
  <c r="R540" i="3"/>
  <c r="R541" i="3"/>
  <c r="R593" i="3"/>
  <c r="R561" i="3"/>
  <c r="R602" i="3"/>
  <c r="R608" i="3"/>
  <c r="R609" i="3"/>
  <c r="R601" i="3"/>
  <c r="R600" i="3"/>
  <c r="R605" i="3"/>
  <c r="R614" i="3"/>
  <c r="R615" i="3"/>
  <c r="R617" i="3"/>
  <c r="R619" i="3"/>
  <c r="R559" i="3"/>
  <c r="R553" i="3"/>
  <c r="R594" i="3"/>
  <c r="R597" i="3"/>
  <c r="R575" i="3"/>
  <c r="R573" i="3"/>
  <c r="R569" i="3"/>
  <c r="R568" i="3"/>
  <c r="R564" i="3"/>
  <c r="R563" i="3"/>
  <c r="R562" i="3"/>
  <c r="R549" i="3"/>
  <c r="R539" i="3"/>
  <c r="R545" i="3"/>
  <c r="L576" i="3"/>
  <c r="L557" i="3"/>
  <c r="L555" i="3"/>
  <c r="L544" i="3"/>
  <c r="R537" i="3"/>
  <c r="R406" i="3"/>
  <c r="L535" i="3"/>
  <c r="R529" i="3"/>
  <c r="R466" i="3"/>
  <c r="R465" i="3"/>
  <c r="R455" i="3"/>
  <c r="R453" i="3"/>
  <c r="R464" i="3"/>
  <c r="R452" i="3"/>
  <c r="R524" i="3"/>
  <c r="R477" i="3"/>
  <c r="R476" i="3"/>
  <c r="R451" i="3"/>
  <c r="R488" i="3"/>
  <c r="R474" i="3"/>
  <c r="R519" i="3"/>
  <c r="R506" i="3"/>
  <c r="R439" i="3"/>
  <c r="R438" i="3"/>
  <c r="R437" i="3"/>
  <c r="R446" i="3"/>
  <c r="R436" i="3"/>
  <c r="R485" i="3"/>
  <c r="R435" i="3"/>
  <c r="R484" i="3"/>
  <c r="R433" i="3"/>
  <c r="R470" i="3"/>
  <c r="R499" i="3"/>
  <c r="R516" i="3"/>
  <c r="R534" i="3"/>
  <c r="R533" i="3"/>
  <c r="R532" i="3"/>
  <c r="R461" i="3"/>
  <c r="R426" i="3"/>
  <c r="R425" i="3"/>
  <c r="R531" i="3"/>
  <c r="R530" i="3"/>
  <c r="R528" i="3"/>
  <c r="R527" i="3"/>
  <c r="R526" i="3"/>
  <c r="R525" i="3"/>
  <c r="R523" i="3"/>
  <c r="R522" i="3"/>
  <c r="R521" i="3"/>
  <c r="R520" i="3"/>
  <c r="R518" i="3"/>
  <c r="R517" i="3"/>
  <c r="R515" i="3"/>
  <c r="R514" i="3"/>
  <c r="R512" i="3"/>
  <c r="R513" i="3"/>
  <c r="R511" i="3"/>
  <c r="R509" i="3"/>
  <c r="R510" i="3"/>
  <c r="R507" i="3"/>
  <c r="R505" i="3"/>
  <c r="R503" i="3"/>
  <c r="R504" i="3"/>
  <c r="R502" i="3"/>
  <c r="R501" i="3"/>
  <c r="R500" i="3"/>
  <c r="R497" i="3"/>
  <c r="R498" i="3"/>
  <c r="R496" i="3"/>
  <c r="R495" i="3"/>
  <c r="R494" i="3"/>
  <c r="R493" i="3"/>
  <c r="R492" i="3"/>
  <c r="R491" i="3"/>
  <c r="R490" i="3"/>
  <c r="R489" i="3"/>
  <c r="R487" i="3"/>
  <c r="R486" i="3"/>
  <c r="R482" i="3"/>
  <c r="R483" i="3"/>
  <c r="R480" i="3"/>
  <c r="R481" i="3"/>
  <c r="R479" i="3"/>
  <c r="R478" i="3"/>
  <c r="R473" i="3"/>
  <c r="R475" i="3"/>
  <c r="R472" i="3"/>
  <c r="R471" i="3"/>
  <c r="R469" i="3"/>
  <c r="R468" i="3"/>
  <c r="R467" i="3"/>
  <c r="R463" i="3"/>
  <c r="R462" i="3"/>
  <c r="R460" i="3"/>
  <c r="R459" i="3"/>
  <c r="R458" i="3"/>
  <c r="R457" i="3"/>
  <c r="R454" i="3"/>
  <c r="R450" i="3"/>
  <c r="R449" i="3"/>
  <c r="R448" i="3"/>
  <c r="R447" i="3"/>
  <c r="R445" i="3"/>
  <c r="R444" i="3"/>
  <c r="R443" i="3"/>
  <c r="R442" i="3"/>
  <c r="R441" i="3"/>
  <c r="R440" i="3"/>
  <c r="R432" i="3"/>
  <c r="R431" i="3"/>
  <c r="R430" i="3"/>
  <c r="R429" i="3"/>
  <c r="R428" i="3"/>
  <c r="R427" i="3"/>
  <c r="R424" i="3"/>
  <c r="R423" i="3"/>
  <c r="R421" i="3"/>
  <c r="R422" i="3"/>
  <c r="R420" i="3"/>
  <c r="R419" i="3"/>
  <c r="R418" i="3"/>
  <c r="R417" i="3"/>
  <c r="R415" i="3"/>
  <c r="R416" i="3"/>
  <c r="R414" i="3"/>
  <c r="R413" i="3"/>
  <c r="R412" i="3"/>
  <c r="R411" i="3"/>
  <c r="R409" i="3"/>
  <c r="R408" i="3"/>
  <c r="R407" i="3"/>
  <c r="R405" i="3"/>
  <c r="R404" i="3"/>
  <c r="R402" i="3"/>
  <c r="R401" i="3"/>
  <c r="R400" i="3"/>
  <c r="R399" i="3"/>
  <c r="R398" i="3"/>
  <c r="R397" i="3"/>
  <c r="R396" i="3"/>
  <c r="R395" i="3"/>
  <c r="R394" i="3"/>
  <c r="R392" i="3"/>
  <c r="R391" i="3"/>
  <c r="R390" i="3"/>
  <c r="R389" i="3"/>
  <c r="R388" i="3"/>
  <c r="R387" i="3"/>
  <c r="R386" i="3"/>
  <c r="R385" i="3"/>
  <c r="R383" i="3"/>
  <c r="R382" i="3"/>
  <c r="R381" i="3"/>
  <c r="R380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4" i="3"/>
  <c r="R293" i="3"/>
  <c r="R292" i="3"/>
  <c r="R291" i="3"/>
  <c r="R290" i="3"/>
  <c r="R289" i="3"/>
  <c r="R288" i="3"/>
  <c r="R287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4" i="3"/>
  <c r="R86" i="3"/>
  <c r="R85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1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2" i="3"/>
  <c r="R11" i="3"/>
  <c r="R10" i="3"/>
  <c r="R9" i="3"/>
  <c r="R8" i="3"/>
  <c r="R7" i="3"/>
  <c r="R6" i="3"/>
  <c r="R5" i="3"/>
  <c r="R4" i="3"/>
  <c r="R3" i="3"/>
  <c r="R2" i="3"/>
  <c r="R379" i="3"/>
  <c r="R536" i="3"/>
  <c r="R403" i="3"/>
  <c r="R384" i="3"/>
  <c r="R535" i="3"/>
  <c r="R583" i="3"/>
  <c r="B8" i="27" l="1" a="1"/>
  <c r="D43" i="26"/>
  <c r="D42" i="26"/>
  <c r="D40" i="26"/>
  <c r="D41" i="26"/>
  <c r="D36" i="26"/>
  <c r="D35" i="26"/>
  <c r="D39" i="26"/>
  <c r="D34" i="26"/>
  <c r="D37" i="26"/>
  <c r="D38" i="26"/>
  <c r="C45" i="26"/>
  <c r="D44" i="26"/>
  <c r="E14" i="26"/>
  <c r="D33" i="26"/>
  <c r="B14" i="26"/>
  <c r="B45" i="26"/>
  <c r="L510" i="3"/>
  <c r="L490" i="3"/>
  <c r="L471" i="3"/>
  <c r="D5" i="27" l="1"/>
  <c r="D45" i="26"/>
  <c r="E43" i="26" s="1"/>
  <c r="L442" i="3"/>
  <c r="L443" i="3"/>
  <c r="L161" i="3"/>
  <c r="L177" i="3"/>
  <c r="L178" i="3"/>
  <c r="L179" i="3"/>
  <c r="L188" i="3"/>
  <c r="L189" i="3"/>
  <c r="L219" i="3"/>
  <c r="L191" i="3"/>
  <c r="L240" i="3"/>
  <c r="L252" i="3"/>
  <c r="L319" i="3"/>
  <c r="L320" i="3"/>
  <c r="O321" i="3"/>
  <c r="R321" i="3" s="1"/>
  <c r="L312" i="3"/>
  <c r="L343" i="3"/>
  <c r="L357" i="3"/>
  <c r="L308" i="3"/>
  <c r="S349" i="3"/>
  <c r="L4" i="20" s="1" a="1"/>
  <c r="L297" i="3"/>
  <c r="L314" i="3"/>
  <c r="L367" i="3"/>
  <c r="L370" i="3"/>
  <c r="L366" i="3"/>
  <c r="L373" i="3"/>
  <c r="L376" i="3"/>
  <c r="L382" i="3"/>
  <c r="L389" i="3"/>
  <c r="L391" i="3"/>
  <c r="L394" i="3"/>
  <c r="L375" i="3"/>
  <c r="L377" i="3"/>
  <c r="L378" i="3"/>
  <c r="L383" i="3"/>
  <c r="L419" i="3"/>
  <c r="L426" i="3"/>
  <c r="L446" i="3"/>
  <c r="L455" i="3"/>
  <c r="L464" i="3"/>
  <c r="L470" i="3"/>
  <c r="L485" i="3"/>
  <c r="L501" i="3"/>
  <c r="L517" i="3"/>
  <c r="L433" i="3"/>
  <c r="L451" i="3"/>
  <c r="L461" i="3"/>
  <c r="L469" i="3"/>
  <c r="L488" i="3"/>
  <c r="L506" i="3"/>
  <c r="L524" i="3"/>
  <c r="L533" i="3"/>
  <c r="E39" i="26" l="1"/>
  <c r="G5" i="27"/>
  <c r="E42" i="26"/>
  <c r="E40" i="26"/>
  <c r="E36" i="26"/>
  <c r="E35" i="26"/>
  <c r="E37" i="26"/>
  <c r="E44" i="26"/>
  <c r="E41" i="26"/>
  <c r="E38" i="26"/>
  <c r="E33" i="26"/>
  <c r="E34" i="26"/>
  <c r="E45" i="26" l="1"/>
  <c r="B8" i="27" l="1"/>
  <c r="A8" i="27"/>
  <c r="L4" i="20"/>
  <c r="R4" i="20" s="1" a="1"/>
  <c r="R4" i="20" l="1"/>
  <c r="S4" i="20" s="1" a="1"/>
  <c r="S4" i="20" s="1"/>
  <c r="T4" i="20" l="1" a="1"/>
  <c r="T4" i="20" s="1"/>
  <c r="A2" i="20" l="1" a="1"/>
  <c r="E105" i="23" s="1"/>
  <c r="A2" i="20" l="1"/>
  <c r="A5" i="23" a="1"/>
  <c r="D47" i="23"/>
  <c r="E47" i="23"/>
  <c r="F47" i="23"/>
  <c r="C47" i="23"/>
  <c r="B47" i="23"/>
  <c r="D8" i="23" l="1"/>
  <c r="F29" i="23"/>
  <c r="B15" i="23"/>
  <c r="F15" i="23"/>
  <c r="B26" i="23"/>
  <c r="E37" i="23"/>
  <c r="D14" i="23"/>
  <c r="E35" i="23"/>
  <c r="F44" i="23"/>
  <c r="C13" i="23"/>
  <c r="E30" i="23"/>
  <c r="B24" i="23"/>
  <c r="B8" i="23"/>
  <c r="D11" i="23"/>
  <c r="B20" i="23"/>
  <c r="B35" i="23"/>
  <c r="D36" i="23"/>
  <c r="D23" i="23"/>
  <c r="B23" i="23"/>
  <c r="E18" i="23"/>
  <c r="C25" i="23"/>
  <c r="F22" i="23"/>
  <c r="B12" i="23"/>
  <c r="E17" i="23"/>
  <c r="D43" i="23"/>
  <c r="B27" i="23"/>
  <c r="D37" i="23"/>
  <c r="B16" i="23"/>
  <c r="D41" i="23"/>
  <c r="C17" i="23"/>
  <c r="B17" i="23"/>
  <c r="F31" i="23"/>
  <c r="B42" i="23"/>
  <c r="D15" i="23"/>
  <c r="E16" i="23"/>
  <c r="F21" i="23"/>
  <c r="D31" i="23"/>
  <c r="E26" i="23"/>
  <c r="B6" i="23"/>
  <c r="F9" i="23"/>
  <c r="D12" i="23"/>
  <c r="C23" i="23"/>
  <c r="C18" i="23"/>
  <c r="F36" i="23"/>
  <c r="F35" i="23"/>
  <c r="E21" i="23"/>
  <c r="D38" i="23"/>
  <c r="C9" i="23"/>
  <c r="C29" i="23"/>
  <c r="C31" i="23"/>
  <c r="C35" i="23"/>
  <c r="D22" i="23"/>
  <c r="F41" i="23"/>
  <c r="E38" i="23"/>
  <c r="C39" i="23"/>
  <c r="C22" i="23"/>
  <c r="D25" i="23"/>
  <c r="B36" i="23"/>
  <c r="D24" i="23"/>
  <c r="B44" i="23"/>
  <c r="C37" i="23"/>
  <c r="F7" i="23"/>
  <c r="D39" i="23"/>
  <c r="B19" i="23"/>
  <c r="F12" i="23"/>
  <c r="D28" i="23"/>
  <c r="E15" i="23"/>
  <c r="B45" i="23"/>
  <c r="F18" i="23"/>
  <c r="B22" i="23"/>
  <c r="C8" i="23"/>
  <c r="B34" i="23"/>
  <c r="B37" i="23"/>
  <c r="D13" i="23"/>
  <c r="B32" i="23"/>
  <c r="D20" i="23"/>
  <c r="E33" i="23"/>
  <c r="C45" i="23"/>
  <c r="F25" i="23"/>
  <c r="F14" i="23"/>
  <c r="B14" i="23"/>
  <c r="D30" i="23"/>
  <c r="C42" i="23"/>
  <c r="F27" i="23"/>
  <c r="D29" i="23"/>
  <c r="C26" i="23"/>
  <c r="D34" i="23"/>
  <c r="F45" i="23"/>
  <c r="B13" i="23"/>
  <c r="F6" i="23"/>
  <c r="D21" i="23"/>
  <c r="C11" i="23"/>
  <c r="E9" i="23"/>
  <c r="D42" i="23"/>
  <c r="B9" i="23"/>
  <c r="A5" i="23"/>
  <c r="F5" i="23" s="1"/>
  <c r="F24" i="23"/>
  <c r="B43" i="23"/>
  <c r="C21" i="23"/>
  <c r="E32" i="23"/>
  <c r="B30" i="23"/>
  <c r="C46" i="23"/>
  <c r="E19" i="23"/>
  <c r="E39" i="23"/>
  <c r="F16" i="23"/>
  <c r="F42" i="23"/>
  <c r="E14" i="23"/>
  <c r="B40" i="23"/>
  <c r="C15" i="23"/>
  <c r="F10" i="23"/>
  <c r="B10" i="23"/>
  <c r="D7" i="23"/>
  <c r="F46" i="23"/>
  <c r="E11" i="23"/>
  <c r="C34" i="23"/>
  <c r="D27" i="23"/>
  <c r="C33" i="23"/>
  <c r="F17" i="23"/>
  <c r="F28" i="23"/>
  <c r="F11" i="23"/>
  <c r="D33" i="23"/>
  <c r="F19" i="23"/>
  <c r="B7" i="23"/>
  <c r="E46" i="23"/>
  <c r="F26" i="23"/>
  <c r="E44" i="23"/>
  <c r="D35" i="23"/>
  <c r="C24" i="23"/>
  <c r="B18" i="23"/>
  <c r="F20" i="23"/>
  <c r="B31" i="23"/>
  <c r="C28" i="23"/>
  <c r="F32" i="23"/>
  <c r="D9" i="23"/>
  <c r="E27" i="23"/>
  <c r="F38" i="23"/>
  <c r="C19" i="23"/>
  <c r="C7" i="23"/>
  <c r="B33" i="23"/>
  <c r="C40" i="23"/>
  <c r="E42" i="23"/>
  <c r="D18" i="23"/>
  <c r="E23" i="23"/>
  <c r="E24" i="23"/>
  <c r="F40" i="23"/>
  <c r="D17" i="23"/>
  <c r="C6" i="23"/>
  <c r="F30" i="23"/>
  <c r="F37" i="23"/>
  <c r="F8" i="23"/>
  <c r="B28" i="23"/>
  <c r="E6" i="23"/>
  <c r="D16" i="23"/>
  <c r="C30" i="23"/>
  <c r="C38" i="23"/>
  <c r="B39" i="23"/>
  <c r="F33" i="23"/>
  <c r="C44" i="23"/>
  <c r="E29" i="23"/>
  <c r="E22" i="23"/>
  <c r="C12" i="23"/>
  <c r="D19" i="23"/>
  <c r="F13" i="23"/>
  <c r="D40" i="23"/>
  <c r="F34" i="23"/>
  <c r="C36" i="23"/>
  <c r="E45" i="23"/>
  <c r="B38" i="23"/>
  <c r="D45" i="23"/>
  <c r="E31" i="23"/>
  <c r="C32" i="23"/>
  <c r="B46" i="23"/>
  <c r="C43" i="23"/>
  <c r="E41" i="23"/>
  <c r="E43" i="23"/>
  <c r="D6" i="23"/>
  <c r="C20" i="23"/>
  <c r="D44" i="23"/>
  <c r="E25" i="23"/>
  <c r="D46" i="23"/>
  <c r="B29" i="23"/>
  <c r="E8" i="23"/>
  <c r="F43" i="23"/>
  <c r="E28" i="23"/>
  <c r="B11" i="23"/>
  <c r="C16" i="23"/>
  <c r="B21" i="23"/>
  <c r="D26" i="23"/>
  <c r="E12" i="23"/>
  <c r="E7" i="23"/>
  <c r="D10" i="23"/>
  <c r="E40" i="23"/>
  <c r="E13" i="23"/>
  <c r="B25" i="23"/>
  <c r="F23" i="23"/>
  <c r="C27" i="23"/>
  <c r="E10" i="23"/>
  <c r="D32" i="23"/>
  <c r="E20" i="23"/>
  <c r="E34" i="23"/>
  <c r="E36" i="23"/>
  <c r="F39" i="23"/>
  <c r="C14" i="23"/>
  <c r="B41" i="23"/>
  <c r="C10" i="23"/>
  <c r="C41" i="23"/>
  <c r="F105" i="23" l="1"/>
  <c r="G5" i="23"/>
  <c r="C5" i="23"/>
  <c r="C105" i="23" s="1"/>
  <c r="E5" i="23"/>
  <c r="B5" i="23"/>
  <c r="B105" i="23" s="1"/>
  <c r="D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Silvio Nascimento De Abreu Bueno</author>
  </authors>
  <commentList>
    <comment ref="AC1" authorId="0" shapeId="0" xr:uid="{745367C7-3F54-4124-A783-56F8C31CBC49}">
      <text>
        <r>
          <rPr>
            <b/>
            <sz val="9"/>
            <color indexed="81"/>
            <rFont val="Segoe UI"/>
            <charset val="1"/>
          </rPr>
          <t>Silvio Nascimento De Abreu Bueno:</t>
        </r>
        <r>
          <rPr>
            <sz val="9"/>
            <color indexed="81"/>
            <rFont val="Segoe UI"/>
            <charset val="1"/>
          </rPr>
          <t xml:space="preserve">
Pagamento de GECC referente à atividade de Examinador (participação em comissão avaliadora de anteprojetos de pós-graduação) — Resolução nº 361/2022 e art. 100 da LC DF nº 840/2011.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<sst xmlns="http://schemas.openxmlformats.org/spreadsheetml/2006/main" count="6805" uniqueCount="3021">
  <si>
    <t>ID</t>
  </si>
  <si>
    <t>Ano</t>
  </si>
  <si>
    <t>Status Evento</t>
  </si>
  <si>
    <t>Processo</t>
  </si>
  <si>
    <t>Curso</t>
  </si>
  <si>
    <t>Público-Alvo</t>
  </si>
  <si>
    <t>Programa</t>
  </si>
  <si>
    <t>Data TXT</t>
  </si>
  <si>
    <t>Início</t>
  </si>
  <si>
    <t>Término</t>
  </si>
  <si>
    <t>Modalidade</t>
  </si>
  <si>
    <t>Valor instrutoria</t>
  </si>
  <si>
    <t>Nota Av. Reação</t>
  </si>
  <si>
    <t>Qtd Vagas</t>
  </si>
  <si>
    <t>P. Servidores</t>
  </si>
  <si>
    <t>P. Jurisdicionados</t>
  </si>
  <si>
    <t>P. Sociedade</t>
  </si>
  <si>
    <t>Total Part.</t>
  </si>
  <si>
    <t>C.H.</t>
  </si>
  <si>
    <t>Instrutor</t>
  </si>
  <si>
    <t>2014-001</t>
  </si>
  <si>
    <t>Realizado</t>
  </si>
  <si>
    <t>CURSO DE ELABORAÇÃO DE PARECERES E RELATÓRIOS</t>
  </si>
  <si>
    <t>Servidores do TCDF</t>
  </si>
  <si>
    <t>Metodologias de Auditoria e Fiscalização</t>
  </si>
  <si>
    <t>17 a 21/03/2014</t>
  </si>
  <si>
    <t>Instrutoria Externa</t>
  </si>
  <si>
    <t>2014-002</t>
  </si>
  <si>
    <t>procu</t>
  </si>
  <si>
    <t>ELABORAÇÃO DE PLANO DE AUDITORIA E MATRIZ DE PLANEJAMENTO</t>
  </si>
  <si>
    <t>14 e 14/04/2014</t>
  </si>
  <si>
    <t>2014-003</t>
  </si>
  <si>
    <t>CURSO DE EXCEL AVANÇADO</t>
  </si>
  <si>
    <t>Mineração e Análise de Dados</t>
  </si>
  <si>
    <t>02 a 09/06/2014</t>
  </si>
  <si>
    <t>Instrutoria Interna</t>
  </si>
  <si>
    <t>2014-004</t>
  </si>
  <si>
    <t>REGIME DIFERENCIADO DE CONTRATAÇÕES PÚBLICAS - RDC</t>
  </si>
  <si>
    <t>Administração, Estratégia e Inovação</t>
  </si>
  <si>
    <t>24 e 25/06/2014</t>
  </si>
  <si>
    <t>2014-005</t>
  </si>
  <si>
    <t>ENGENHARIA ECONÔMICA I E II - CAPACITAÇÃO EM PARCERIAS PÚBLICO PRIVADAS E CONCESSÕES DE</t>
  </si>
  <si>
    <t>04 a 08/08/2014</t>
  </si>
  <si>
    <t>2014-006</t>
  </si>
  <si>
    <t>CURSO TÉCNICAS DE AUDITORIA OPERACIONAL</t>
  </si>
  <si>
    <t>10/09/2014</t>
  </si>
  <si>
    <t>2014-007</t>
  </si>
  <si>
    <t>31/10/2014</t>
  </si>
  <si>
    <t>2014-008</t>
  </si>
  <si>
    <t>PROCESSO DE CONTRATAÇÃO PÚBLICA</t>
  </si>
  <si>
    <t>10 a 14/11/2014</t>
  </si>
  <si>
    <t>2014-009</t>
  </si>
  <si>
    <t>TERMO DE REFERÊNCIA DE SERVIÇOS CONTINUADOS COM DEDICAÇÃO EXCLUSIVA DE MÃO DE OBRA</t>
  </si>
  <si>
    <t>24 a 28/11/2014</t>
  </si>
  <si>
    <t>2015-001</t>
  </si>
  <si>
    <t>1683/2015</t>
  </si>
  <si>
    <t>ELABORAÇÃO DE PARECERES E RELATÓRIOS</t>
  </si>
  <si>
    <t>23 a 27/03/2015</t>
  </si>
  <si>
    <t>José Paulo Moreira de Oliveira</t>
  </si>
  <si>
    <t>2015-002</t>
  </si>
  <si>
    <t>3716/2015</t>
  </si>
  <si>
    <t>O PROCESSO DE CONTRATAÇÃO PÚBLICA</t>
  </si>
  <si>
    <t>Jurisdicionados</t>
  </si>
  <si>
    <t>06 a 10/04/2015</t>
  </si>
  <si>
    <t>Amauri Alves Nery</t>
  </si>
  <si>
    <t>2015-003</t>
  </si>
  <si>
    <t>5891/2015</t>
  </si>
  <si>
    <t>AUDITORIA EM OBRAS RODOVIÁRIAS</t>
  </si>
  <si>
    <t>Áreas Temáticas de Fiscalização do Setor Público</t>
  </si>
  <si>
    <t>Elci Pessoa Júnior</t>
  </si>
  <si>
    <t>2015-004</t>
  </si>
  <si>
    <t>2515/2015</t>
  </si>
  <si>
    <t>Treinamento de Jurisdicionados</t>
  </si>
  <si>
    <t>13 a 17/04/2015</t>
  </si>
  <si>
    <t>Leonardo José Alves Leal Neri</t>
  </si>
  <si>
    <t>2015-005</t>
  </si>
  <si>
    <t>7690/2015</t>
  </si>
  <si>
    <t>FISCALIZAÇÃO DE CONTRATOS ADMINISTRATIVOS</t>
  </si>
  <si>
    <t>16, 17, 22, 23 e 24/04/2020</t>
  </si>
  <si>
    <t>2015-006</t>
  </si>
  <si>
    <t>PALESTRA CONSELHOS REGIONAIS DE SAÚDE</t>
  </si>
  <si>
    <t>Sociedade</t>
  </si>
  <si>
    <t>N/A</t>
  </si>
  <si>
    <t/>
  </si>
  <si>
    <t>2015-007</t>
  </si>
  <si>
    <t>3481/2015</t>
  </si>
  <si>
    <t>PROCESSO NOS TRIBUNAIS DE CONTAS</t>
  </si>
  <si>
    <t>26 a 29/05/2015</t>
  </si>
  <si>
    <t>Odilon Cavallari de Oliveira</t>
  </si>
  <si>
    <t>2015-008</t>
  </si>
  <si>
    <t>5654/2015</t>
  </si>
  <si>
    <t>A NOVA CONTABILIDADE APLICADA AO SETOR PÚBLICO</t>
  </si>
  <si>
    <t>11 a 15/05/2015</t>
  </si>
  <si>
    <t>Romildo Araújo da Silva</t>
  </si>
  <si>
    <t>2015-009</t>
  </si>
  <si>
    <t>14060/2015</t>
  </si>
  <si>
    <t>TREINAMENTO DO SISTEMA TERRAGEO</t>
  </si>
  <si>
    <t>22/05/2015</t>
  </si>
  <si>
    <t>INSTRUTOR EXTERNO TERRACAP</t>
  </si>
  <si>
    <t>2015-010</t>
  </si>
  <si>
    <t>1098/2015</t>
  </si>
  <si>
    <t>EXCEL AVANÇADO</t>
  </si>
  <si>
    <t>25/05 a 01/06/2015</t>
  </si>
  <si>
    <t>Logus TI</t>
  </si>
  <si>
    <t>2015-011</t>
  </si>
  <si>
    <t>12742/2015</t>
  </si>
  <si>
    <t>TREINAMENTO SIGGO (Sistema Integrado de Contabilidade Governamental)</t>
  </si>
  <si>
    <t>08 a 12/06/2015</t>
  </si>
  <si>
    <t>Rômulo Miranda Alvim</t>
  </si>
  <si>
    <t>2015-012</t>
  </si>
  <si>
    <t>13480/2015</t>
  </si>
  <si>
    <t>GESTÃO E FISCALIZAÇÃO DE CONTRATOS ADMINISTRATIVOS - MÓDULO I</t>
  </si>
  <si>
    <t>15 a 19/06/2015</t>
  </si>
  <si>
    <t>Roberto Dias Santiago</t>
  </si>
  <si>
    <t>2015-013</t>
  </si>
  <si>
    <t>19283/2015</t>
  </si>
  <si>
    <t>SEMINÁRIO ATUALIZAÇÃO EM LEGISLAÇÃO DE PESSOAL</t>
  </si>
  <si>
    <t>05 e 07/08/2015</t>
  </si>
  <si>
    <t>Inácio Magalhães Filho</t>
  </si>
  <si>
    <t>2015-014</t>
  </si>
  <si>
    <t>22314/2015</t>
  </si>
  <si>
    <t>METODOLOGIA DE CONSTRUÇÃO E ATUALIZAÇÃO DO TESAURO DE CONTAS DO DF</t>
  </si>
  <si>
    <t>24 a 28/08/2015</t>
  </si>
  <si>
    <t>ANDREA FORTALEZA BRANDES DE SOUZA</t>
  </si>
  <si>
    <t>2015-015</t>
  </si>
  <si>
    <t>17949/2015</t>
  </si>
  <si>
    <t>RESPONSABILIDADE DE AGENTES PÚBLICOS E PRIVADOS PERANTE OS TRIBUNAIS DE CONTAS</t>
  </si>
  <si>
    <t>31/08/2015 a 04/09/2015</t>
  </si>
  <si>
    <t>Aprimora Treinamentos</t>
  </si>
  <si>
    <t>2015-016</t>
  </si>
  <si>
    <t>23973/2015</t>
  </si>
  <si>
    <t>TÉCNICAS DE AUDITORIA OPERACIONAL</t>
  </si>
  <si>
    <t>14 a 18/09/2015</t>
  </si>
  <si>
    <t>Dagomar Henrique Limas</t>
  </si>
  <si>
    <t>2015-017</t>
  </si>
  <si>
    <t>LEGISLAÇÃO DE PESSOAL NO SETOR PÚBLICO COM ENFOQUE NA LC nº 840/2011</t>
  </si>
  <si>
    <t>2015-018</t>
  </si>
  <si>
    <t>29327/2015</t>
  </si>
  <si>
    <t>CAPACITAÇÃO PARA CONSELHEIROS DE SAÚDE - Turma I</t>
  </si>
  <si>
    <t>29/09/2015 a 02/10/2015</t>
  </si>
  <si>
    <t>Romildo Araújo da Silva; Tarsila Firmino Ely</t>
  </si>
  <si>
    <t>2015-019</t>
  </si>
  <si>
    <t>30040/2015</t>
  </si>
  <si>
    <t>OFICINA DE ACCESS AVANÇADO</t>
  </si>
  <si>
    <t>05 a 09/10/2015</t>
  </si>
  <si>
    <t>JOSDEYVI MAGALHAES RUSSI</t>
  </si>
  <si>
    <t>2015-020</t>
  </si>
  <si>
    <t>GESTÃO E FISCALIZAÇÃO DE CONTRATOS ADMINISTRATIVOS - MÓDULO II</t>
  </si>
  <si>
    <t>19 a 23/10/2015</t>
  </si>
  <si>
    <t>2015-021</t>
  </si>
  <si>
    <t>CONTRATAÇÃO DE SOLUÇÕES DE TECNOLOGIA DA INFORMAÇÃO E COMUNICAÇÃO - IN nº 04/2014</t>
  </si>
  <si>
    <t>2015-022</t>
  </si>
  <si>
    <t>CAPACITAÇÃO PARA CONSELHEIROS DE SAÚDE - Turma II</t>
  </si>
  <si>
    <t>17 a 20/11/2015</t>
  </si>
  <si>
    <t>2016-001</t>
  </si>
  <si>
    <t>13946/2016</t>
  </si>
  <si>
    <t>Sistema Channel - Turma 1</t>
  </si>
  <si>
    <t>Breno</t>
  </si>
  <si>
    <t>2016-002</t>
  </si>
  <si>
    <t>Instrutoria</t>
  </si>
  <si>
    <t>2016-003</t>
  </si>
  <si>
    <t>30532/2016; 28880/2016</t>
  </si>
  <si>
    <t>Trilhas de Aprendizagem</t>
  </si>
  <si>
    <t>Pedro Paulo Carbone; Sylvio Maestrelli; Anelise Pereira Sihler</t>
  </si>
  <si>
    <t>2016-004</t>
  </si>
  <si>
    <t>8721/2016</t>
  </si>
  <si>
    <t>Termo de Referência de Serviços Continuados com dedicação exclusiva de mão de obra</t>
  </si>
  <si>
    <t>16 a 20/05/2016</t>
  </si>
  <si>
    <t>2016-005</t>
  </si>
  <si>
    <t>16866/2016</t>
  </si>
  <si>
    <t>Workshop para prefeitos comunitários</t>
  </si>
  <si>
    <t>13/06/2016</t>
  </si>
  <si>
    <t>LUIZ GENEDIO MENDES JORGE</t>
  </si>
  <si>
    <t>2016-006</t>
  </si>
  <si>
    <t>8195/2016</t>
  </si>
  <si>
    <t>Workshop sobre Parcerias Público-Privadas</t>
  </si>
  <si>
    <t>13 e 14/06/2016</t>
  </si>
  <si>
    <t>Maria Aparecida Aiko Ikemura</t>
  </si>
  <si>
    <t>2016-007</t>
  </si>
  <si>
    <t>12356/2016</t>
  </si>
  <si>
    <t>Contratação Direta - Dispensa e Inexigibilidade de Licitação</t>
  </si>
  <si>
    <t>13 a 17/06/2016</t>
  </si>
  <si>
    <t>2016-008</t>
  </si>
  <si>
    <t>16351/2016</t>
  </si>
  <si>
    <t>Capacitação para Conselheiros de Saúde</t>
  </si>
  <si>
    <t>27/06/2016 a 01/07/2016</t>
  </si>
  <si>
    <t>ROMILDO ARAUJO DA SILVA; TARSILA FIRMINO ELY</t>
  </si>
  <si>
    <t>2016-009</t>
  </si>
  <si>
    <t>13816/2016</t>
  </si>
  <si>
    <t>Access básico aplicado ao SIGGO</t>
  </si>
  <si>
    <t>ROMULO MIRANDA ALVIM</t>
  </si>
  <si>
    <t>2016-010</t>
  </si>
  <si>
    <t>15487/2016</t>
  </si>
  <si>
    <t>Acompanhamento do Orçamento Público – Jornalistas</t>
  </si>
  <si>
    <t>28/06/2016 a 30/06/2016</t>
  </si>
  <si>
    <t>Luiz Genédio Mendes Jorge</t>
  </si>
  <si>
    <t>2016-011</t>
  </si>
  <si>
    <t>14910/2016</t>
  </si>
  <si>
    <t>Curso de Educação Financeira</t>
  </si>
  <si>
    <t>Desenvolvimento Individual e Promoção da Cultura Organizacional</t>
  </si>
  <si>
    <t>20 e 21/07/2016</t>
  </si>
  <si>
    <t>BRB</t>
  </si>
  <si>
    <t>2016-012</t>
  </si>
  <si>
    <t>20995/2016</t>
  </si>
  <si>
    <t>Governança e gestão de TIC - Melhores práticas de mercado</t>
  </si>
  <si>
    <t>01 e 02/08/2016</t>
  </si>
  <si>
    <t>Everton Peixoto Correia de Assumpção</t>
  </si>
  <si>
    <t>2016-013</t>
  </si>
  <si>
    <t>13794/2016</t>
  </si>
  <si>
    <t>Oficina de Access Intermediário</t>
  </si>
  <si>
    <t>08 a 12/08/2016</t>
  </si>
  <si>
    <t>Josdeyvi Magalhães Russi</t>
  </si>
  <si>
    <t>2016-014</t>
  </si>
  <si>
    <t>13832/2016</t>
  </si>
  <si>
    <t>Elaboração de Relatórios e Pareceres com base no manual de redação do Tribunal de Contas do Distrito Federal - Turma 1</t>
  </si>
  <si>
    <t>15 a 19/08/2016</t>
  </si>
  <si>
    <t>Profª Paula Cobucci</t>
  </si>
  <si>
    <t>2016-015</t>
  </si>
  <si>
    <t>23447/2016</t>
  </si>
  <si>
    <t>Processo de Contratação Pública na área de Saúde – Termos de Referência</t>
  </si>
  <si>
    <t>Híbrida</t>
  </si>
  <si>
    <t>Tarsila Firmino Ely; Romildo Araújo da Silva; Luiz Eduardo Costa</t>
  </si>
  <si>
    <t>2016-016</t>
  </si>
  <si>
    <t>2251/2016</t>
  </si>
  <si>
    <t>XXII SEMAT</t>
  </si>
  <si>
    <t>Híbrido</t>
  </si>
  <si>
    <t>31/08 a 01/09/2016</t>
  </si>
  <si>
    <t>Ives Gandra da Silva Martins Filho; Pedro Jorge Simon; Antonio Renato Alves Rainha; Luiz Genédio Mendes Jorge; Henrique Moraes Ziller; Maria Rosynete de Oliveira; Eliana Calmon</t>
  </si>
  <si>
    <t>2016-017</t>
  </si>
  <si>
    <t>24427/2016</t>
  </si>
  <si>
    <t>Gestão de Processos</t>
  </si>
  <si>
    <t>12 a 16/09/2016</t>
  </si>
  <si>
    <t>Annibal</t>
  </si>
  <si>
    <t>2016-018</t>
  </si>
  <si>
    <t>26365/2016</t>
  </si>
  <si>
    <t>Orçamento Público</t>
  </si>
  <si>
    <t>19 a 23/09/2016</t>
  </si>
  <si>
    <t>Profº Rita (SENADO)</t>
  </si>
  <si>
    <t>2016-019</t>
  </si>
  <si>
    <t>3169/2016</t>
  </si>
  <si>
    <t>Gestão e fiscalização de contratos adm. - M1, Turma 1</t>
  </si>
  <si>
    <t>2016-020</t>
  </si>
  <si>
    <t>Gestão e fiscalização de contratos adm. - M2, Turma 1</t>
  </si>
  <si>
    <t>2016-021</t>
  </si>
  <si>
    <t>26373/2016</t>
  </si>
  <si>
    <t>Regime Próprio de Previdência Social</t>
  </si>
  <si>
    <t>03 a 07/10/2016</t>
  </si>
  <si>
    <t>Michel Martins de Morais</t>
  </si>
  <si>
    <t>2016-022</t>
  </si>
  <si>
    <t>18508/2016</t>
  </si>
  <si>
    <t>Como elaborar a planilha de formação de preços da IN nº 02/08 e como julgar a licitação para a contratação dos serviços contínuos</t>
  </si>
  <si>
    <t>17 a 19/10/2016</t>
  </si>
  <si>
    <t>Zênite Informação e Consultoria</t>
  </si>
  <si>
    <t>2016-023</t>
  </si>
  <si>
    <t>30532/2016</t>
  </si>
  <si>
    <t>Aprendizagem Organizacional</t>
  </si>
  <si>
    <t>20, 21, 24, 27 e 28/10/2016</t>
  </si>
  <si>
    <t>2016-024</t>
  </si>
  <si>
    <t>28597/2016</t>
  </si>
  <si>
    <t>Contratação de TI com base na jurisprudência do TCDF</t>
  </si>
  <si>
    <t>24 a 26/10/2016</t>
  </si>
  <si>
    <t>Marcelo Oliveira Vasconcelos</t>
  </si>
  <si>
    <t>2016-025</t>
  </si>
  <si>
    <t>29925/2016</t>
  </si>
  <si>
    <t>Excel Avançado</t>
  </si>
  <si>
    <t>07 a 11/11/2016</t>
  </si>
  <si>
    <t>2016-026</t>
  </si>
  <si>
    <t>30869/2016</t>
  </si>
  <si>
    <t>Legislação de Pessoal no Setor Público com enfoque na LC 840/2011</t>
  </si>
  <si>
    <t>Sebastião Cal de Miranda</t>
  </si>
  <si>
    <t>2016-027</t>
  </si>
  <si>
    <t>30354/2016</t>
  </si>
  <si>
    <t>Elaboração de Relatórios e Pareceres com base no Manual de Redação Oficial do TCDF - Turma 2</t>
  </si>
  <si>
    <t>21, 22, 23, 24 e 28/11/2016</t>
  </si>
  <si>
    <t>Paula Cobucci</t>
  </si>
  <si>
    <t>2016-028</t>
  </si>
  <si>
    <t>9272/2016</t>
  </si>
  <si>
    <t>Gestão e fiscalização de contratos adm. - M2, Turma 2</t>
  </si>
  <si>
    <t>21 a 25/11/2016</t>
  </si>
  <si>
    <t>2016-029</t>
  </si>
  <si>
    <t>Gestão e fiscalização de contratos adm. - M1, Turma 2</t>
  </si>
  <si>
    <t>2016-030</t>
  </si>
  <si>
    <t>32080/2016</t>
  </si>
  <si>
    <t>Contratação e Fiscalização de Obras Públicas - Aspectos Polêmicos</t>
  </si>
  <si>
    <t>05 a 07/12/2016</t>
  </si>
  <si>
    <t>ADRIANA CUOCO PORTUGAL; MARCOS GARCIA DA SILVA PINTO</t>
  </si>
  <si>
    <t>2017-001</t>
  </si>
  <si>
    <t>Instrutoria - Turma 2</t>
  </si>
  <si>
    <t>06, 07, 08, 20 e 21/02/2017</t>
  </si>
  <si>
    <t>Carbone, Sylvio - Inteletto</t>
  </si>
  <si>
    <t>2017-002</t>
  </si>
  <si>
    <t>Tutoria em EAD</t>
  </si>
  <si>
    <t>06 e 31/03/2017</t>
  </si>
  <si>
    <t>2017-003</t>
  </si>
  <si>
    <t>3164/2017</t>
  </si>
  <si>
    <t>Gestão e Fiscalização de Contratos Adm. - M1</t>
  </si>
  <si>
    <t>13 a 17/03/2017</t>
  </si>
  <si>
    <t>2017-004</t>
  </si>
  <si>
    <t>2265/2017</t>
  </si>
  <si>
    <t>Excel Avançado - I</t>
  </si>
  <si>
    <t>20 a 24/03/2017</t>
  </si>
  <si>
    <t>2017-005</t>
  </si>
  <si>
    <t>4730/2017</t>
  </si>
  <si>
    <t>Gestão e Fiscalização de Contratos - Serviços</t>
  </si>
  <si>
    <t>27 a 31/03/2017</t>
  </si>
  <si>
    <t>2017-006</t>
  </si>
  <si>
    <t>3784/2017</t>
  </si>
  <si>
    <t>Regime Próprio da Previdência</t>
  </si>
  <si>
    <t>2017-007</t>
  </si>
  <si>
    <t>997/2017</t>
  </si>
  <si>
    <t>Formulação e Avaliação de Políticas Públicas com foco no Controle Externo</t>
  </si>
  <si>
    <t>03 a 07/04/2017</t>
  </si>
  <si>
    <t>Pedro Luiz Costa Cavalcante</t>
  </si>
  <si>
    <t>2017-008</t>
  </si>
  <si>
    <t>Gestão e Fiscalização de Contratos Adm. - M2</t>
  </si>
  <si>
    <t>24 a 28/04/2017</t>
  </si>
  <si>
    <t>2017-009</t>
  </si>
  <si>
    <t>30532/2017</t>
  </si>
  <si>
    <t>Instrutoria - Turma 3</t>
  </si>
  <si>
    <t>Pedro Paulo Carbone; Sylvio Maestrelli</t>
  </si>
  <si>
    <t>2017-010</t>
  </si>
  <si>
    <t>13946/2017</t>
  </si>
  <si>
    <t>Sistema Channel - Turma 2</t>
  </si>
  <si>
    <t>2017-011</t>
  </si>
  <si>
    <t>8964/2017</t>
  </si>
  <si>
    <t>Excel Avançado - II</t>
  </si>
  <si>
    <t>08 a 12/05/2017</t>
  </si>
  <si>
    <t>2017-012</t>
  </si>
  <si>
    <t>2001/2017</t>
  </si>
  <si>
    <t>Processo nos Tribunais de Contas: Acusação, Contraditório, Julgamento e Recursos</t>
  </si>
  <si>
    <t>15 a 19/05/2017</t>
  </si>
  <si>
    <t>2017-013</t>
  </si>
  <si>
    <t>6120/2017</t>
  </si>
  <si>
    <t>Capacitação para Conselheiros de Cultura</t>
  </si>
  <si>
    <t>22 a 26/05/2017</t>
  </si>
  <si>
    <t>Carlos Augusto Pereira da Silva</t>
  </si>
  <si>
    <t>2017-014</t>
  </si>
  <si>
    <t>11354/2017</t>
  </si>
  <si>
    <t>Legislação de Pessoal no Setor Público, com enfoque na LC 840/2011</t>
  </si>
  <si>
    <t>2017-015</t>
  </si>
  <si>
    <t>11460/2017</t>
  </si>
  <si>
    <t>Tomada de Contas Especial</t>
  </si>
  <si>
    <t>25 e 26/05/2017</t>
  </si>
  <si>
    <t>Guilherme Henrique De La Rocque Almeida</t>
  </si>
  <si>
    <t>2017-016</t>
  </si>
  <si>
    <t>4675/2017</t>
  </si>
  <si>
    <t>Oratória - Turma 1</t>
  </si>
  <si>
    <t>25 a 26/05/2017</t>
  </si>
  <si>
    <t>2017-017</t>
  </si>
  <si>
    <t>14086/2017</t>
  </si>
  <si>
    <t>Contratação de Soluções de Tecnologia da Informação e Comunicação - TIC - T.1</t>
  </si>
  <si>
    <t>26 a 29/05/2017</t>
  </si>
  <si>
    <t>ADINOR BEDRITICHUK JUNIOR; EVERTON PEIXOTO CORREIA DE ASSUMPCAO; FLAVIO JOSE FONSECA DE SOUZA</t>
  </si>
  <si>
    <t>2017-018</t>
  </si>
  <si>
    <t>Oratória - Turma 2</t>
  </si>
  <si>
    <t>05 a 09/06/2017</t>
  </si>
  <si>
    <t>2017-019</t>
  </si>
  <si>
    <t>7690/2017</t>
  </si>
  <si>
    <t>PPP - Análise Econômica e Financeira no Excel</t>
  </si>
  <si>
    <t>19 a 23/06/2017</t>
  </si>
  <si>
    <t>Orivam Ibiapina da Silva</t>
  </si>
  <si>
    <t>2017-020</t>
  </si>
  <si>
    <t>13128/2017</t>
  </si>
  <si>
    <t>Capacitação Especial para Promoção Funcional</t>
  </si>
  <si>
    <t>Ambientação e Desenvolvimento na Carreira</t>
  </si>
  <si>
    <t>23/06 a 16/08/2017</t>
  </si>
  <si>
    <t>Agnaldo Moreira Marques; DELSO FERREIRA DA SILVA JUNIOR; EMILIO VINHADELLI PAPADOPOLIS; Henrique Mattei ;LUCIENE DE FATIMA CARVALHO TEODORO; Paulo Alves Honorato; ROMULO MIRANDA ALVIM; SERGIO ARAUJO DE AMORIM LOPES</t>
  </si>
  <si>
    <t>2017-021</t>
  </si>
  <si>
    <t>4764/2017</t>
  </si>
  <si>
    <t>26 a 30/06/2017</t>
  </si>
  <si>
    <t>2017-022</t>
  </si>
  <si>
    <t>12741/2017</t>
  </si>
  <si>
    <t>Planilha de Terceirização de Mão de Obra - T.1</t>
  </si>
  <si>
    <t>2017-023</t>
  </si>
  <si>
    <t>14060/2017</t>
  </si>
  <si>
    <t>03 a 07/07/2017</t>
  </si>
  <si>
    <t>2017-024</t>
  </si>
  <si>
    <t>20884/2017</t>
  </si>
  <si>
    <t>Planilha de Terceirização de Mão de Obra - T.2</t>
  </si>
  <si>
    <t>24 a 28/07/2017</t>
  </si>
  <si>
    <t>2017-025</t>
  </si>
  <si>
    <t>13098/2017</t>
  </si>
  <si>
    <t>Excel Avançado - III</t>
  </si>
  <si>
    <t>21 a 25/08/2017</t>
  </si>
  <si>
    <t>2017-026</t>
  </si>
  <si>
    <t>3199/2017</t>
  </si>
  <si>
    <t>XXIII SEMAT</t>
  </si>
  <si>
    <t>29 e 30/08/2017</t>
  </si>
  <si>
    <t>Roberto Ellery; Marcos Mendes; Maria Lúcia Fattorelli; Fábio Henrique Granja e Barros; Adler Anaximandro de Cruz e Alves; Daniel Soares Godoi Gomes de Oliveira; Samy Dana</t>
  </si>
  <si>
    <t>2017-027</t>
  </si>
  <si>
    <t>24014/2017</t>
  </si>
  <si>
    <t>Contratação Direta - Dispensa e Inexigibilidade de Licitação sob o enfoque da Lei n° 8666/1993</t>
  </si>
  <si>
    <t>11 a 15/09/2017</t>
  </si>
  <si>
    <t>2017-028</t>
  </si>
  <si>
    <t>26440/2017</t>
  </si>
  <si>
    <t>Lei das Estatais</t>
  </si>
  <si>
    <t>25 a 29/09/2017</t>
  </si>
  <si>
    <t>2017-029</t>
  </si>
  <si>
    <t>25185/2017</t>
  </si>
  <si>
    <t>Impactos do Novo Sicro no Orçamento de Obras Rodoviárias</t>
  </si>
  <si>
    <t>17 a 18/10/2017</t>
  </si>
  <si>
    <t>2017-030</t>
  </si>
  <si>
    <t>29563/2017</t>
  </si>
  <si>
    <t>Boas Práticas para uma Atuação Eficiente dos Executores de Contratos Administrativos</t>
  </si>
  <si>
    <t>23 a 27/10/2017</t>
  </si>
  <si>
    <t>CLEUSA MARTINS PITANGA;PAOLA KARINA DE BARRON SALES</t>
  </si>
  <si>
    <t>2017-031</t>
  </si>
  <si>
    <t>17964/2017</t>
  </si>
  <si>
    <t>Regularidade nos Processo de Aquisição / Manutenção de Equipamentos médico-hospitalares – Termos de Referência</t>
  </si>
  <si>
    <t>Tarsila Firmino Ely; Luiz Eduardo Costa</t>
  </si>
  <si>
    <t>2017-032</t>
  </si>
  <si>
    <t>31223/2017</t>
  </si>
  <si>
    <t>Contratação de Soluções de Tecnologia da Informação e Comunicação - TIC - T.2</t>
  </si>
  <si>
    <t>06 a 09/11/2017</t>
  </si>
  <si>
    <t>Adinor Bedritichuk Junior; Everton Peixoto Correia de Assumpção; Flávio José Fonseca de Souza</t>
  </si>
  <si>
    <t>2018-001</t>
  </si>
  <si>
    <t>5529/2018</t>
  </si>
  <si>
    <t>20 e 21/03/2018</t>
  </si>
  <si>
    <t>Tarsila Firmino Ely</t>
  </si>
  <si>
    <t>2018-002</t>
  </si>
  <si>
    <t>13475/2018</t>
  </si>
  <si>
    <t>SAS aplicado ao Controle Externo (Turma 2)</t>
  </si>
  <si>
    <t>02 a 06/04/2018</t>
  </si>
  <si>
    <t>2018-003</t>
  </si>
  <si>
    <t>6835/2018</t>
  </si>
  <si>
    <t>Gestão e Fiscalização de Contratos Adm. - M1, Turma 1</t>
  </si>
  <si>
    <t>09 a 13/04/2018</t>
  </si>
  <si>
    <t>2018-004</t>
  </si>
  <si>
    <t>25059/2016</t>
  </si>
  <si>
    <t>Oficina de SAS</t>
  </si>
  <si>
    <t>2018-005</t>
  </si>
  <si>
    <t>6797/2018</t>
  </si>
  <si>
    <t>Oratória e Técnicas de Apresentação Corporativa (Turma 1)</t>
  </si>
  <si>
    <t>07, 08, 09 e 11/05/2018</t>
  </si>
  <si>
    <t>2018-006</t>
  </si>
  <si>
    <t>8374/2018</t>
  </si>
  <si>
    <t>SAS aplicado ao Controle Externo (Turma 1)</t>
  </si>
  <si>
    <t>14 a 18/05/2018</t>
  </si>
  <si>
    <t>2018-007</t>
  </si>
  <si>
    <t>10824/2018</t>
  </si>
  <si>
    <t>Parcerias do Estado com a Sociedade Civil e Inovações do Regime do MROSC</t>
  </si>
  <si>
    <t>04 a 08/06/2018</t>
  </si>
  <si>
    <t>Clarice Calixto; Hernane Gomes; Raquel Carvalho</t>
  </si>
  <si>
    <t>2018-008</t>
  </si>
  <si>
    <t>SAS aplicado ao Controle Externo (Turma 3)</t>
  </si>
  <si>
    <t>2018-009</t>
  </si>
  <si>
    <t>12428/2018</t>
  </si>
  <si>
    <t>As novas regras quanto ao planejamento, a gestão e a fiscalização administrativa dos contratos de prestação de serviços estabelecidos pela Instrução Normativa nº 5/2017</t>
  </si>
  <si>
    <t>11 e 15/06/2018</t>
  </si>
  <si>
    <t>Erivan Pereira de Franca</t>
  </si>
  <si>
    <t>2018-010</t>
  </si>
  <si>
    <t>14056/2018</t>
  </si>
  <si>
    <t>Legislação de Pessoal no Setor Público, com enfoque na LC nº 840/2011</t>
  </si>
  <si>
    <t>18 a 22/06/2018</t>
  </si>
  <si>
    <t>2018-011</t>
  </si>
  <si>
    <t>13920/2018</t>
  </si>
  <si>
    <t>eSocial, EFD-Reinf e Retenções Sobre Bens e Serviços</t>
  </si>
  <si>
    <t>Desenvolvimento Gerencial</t>
  </si>
  <si>
    <t>21, 25 e 26/06/2018</t>
  </si>
  <si>
    <t>João Luiz Povoa</t>
  </si>
  <si>
    <t>2018-012</t>
  </si>
  <si>
    <t>16776/2018</t>
  </si>
  <si>
    <t>Gestão e Controle de Conta Vinculada aos Contratos de Terceirização</t>
  </si>
  <si>
    <t>16 a 20/07/2018</t>
  </si>
  <si>
    <t>Paola Karina de Barron Sales</t>
  </si>
  <si>
    <t>2018-013</t>
  </si>
  <si>
    <t>Oratória e Técnicas de Apresentação Corporativa (Turma 2)</t>
  </si>
  <si>
    <t>13, 14, 15 e 17/08/2018</t>
  </si>
  <si>
    <t>2018-014</t>
  </si>
  <si>
    <t>4085/2018</t>
  </si>
  <si>
    <t>XXIV SEMAT</t>
  </si>
  <si>
    <t>21 e 22/08/2018</t>
  </si>
  <si>
    <t>Diversos</t>
  </si>
  <si>
    <t>2018-015</t>
  </si>
  <si>
    <t>Entendendo a planilha de custos e formação de preços da IN 5/2017: Abordagem prática - impactos da reforma trabalhista</t>
  </si>
  <si>
    <t>27 e 31/08/2018</t>
  </si>
  <si>
    <t>2018-016</t>
  </si>
  <si>
    <t>25350/2018</t>
  </si>
  <si>
    <t>Lançamento do Programa - palestra in company “Liderança para um novo tempo”</t>
  </si>
  <si>
    <t>31/08/2018</t>
  </si>
  <si>
    <t>Leandro Karnal</t>
  </si>
  <si>
    <t>2018-017</t>
  </si>
  <si>
    <t>19082/2018</t>
  </si>
  <si>
    <t>Programa de Desenvolvimento Gerencial - Ciclo Básico</t>
  </si>
  <si>
    <t>26/09 a 20/11/2018</t>
  </si>
  <si>
    <t>Luiz Genédio Mendes Jorge; Paulo Cavalcanti de Oliveira; Igor Vidal e Suely e Paula Cobucci</t>
  </si>
  <si>
    <t>2018-018</t>
  </si>
  <si>
    <t>25422/2018</t>
  </si>
  <si>
    <t>Palestras complementares (24 de outubro): “Fazendo a inovação acontecer nas organizações” &amp; “Gestor criativo e o uso das novas tecnologias”</t>
  </si>
  <si>
    <t>24/10/2018</t>
  </si>
  <si>
    <t>Luis Rasquilhas e Rivadavia Drummond</t>
  </si>
  <si>
    <t>2018-019</t>
  </si>
  <si>
    <t>31678/2018</t>
  </si>
  <si>
    <t>Atualização em Secretariado Executivo no TCDF</t>
  </si>
  <si>
    <t>19 a 21/11/2018</t>
  </si>
  <si>
    <t>David Pereira Pires Filho; Mônica Gomes da Silva Cardoso; Polyana Mota Resende Brant</t>
  </si>
  <si>
    <t>2018-020</t>
  </si>
  <si>
    <t>Palestras complementares (27 de novembro): “Gente de resultado – como construir equipes de alto desempenho” &amp; “O que os palcos não contam: sonhos, foco, resiliência, suor e gratidão”</t>
  </si>
  <si>
    <t>27/11/2018</t>
  </si>
  <si>
    <t>Eduardo Ferraz e Léo Chaves</t>
  </si>
  <si>
    <t>2018-021</t>
  </si>
  <si>
    <t>32569/2018</t>
  </si>
  <si>
    <t>Workshop Secretariado</t>
  </si>
  <si>
    <t>03/12/2018</t>
  </si>
  <si>
    <t>cobucci Desenvolvimento Humano</t>
  </si>
  <si>
    <t>2019-001</t>
  </si>
  <si>
    <t>4080/2019</t>
  </si>
  <si>
    <t>Promoção Funcional - Auditores - Turma 1</t>
  </si>
  <si>
    <t>18/03 a 09/09/2019</t>
  </si>
  <si>
    <t>Francisco Antonio Alves de Souza</t>
  </si>
  <si>
    <t>2019-002</t>
  </si>
  <si>
    <t>4951/2019</t>
  </si>
  <si>
    <t>Concessões, PPPs e Regulação de Serviços Públicos na Prática</t>
  </si>
  <si>
    <t>22/03 a 16/04/2019</t>
  </si>
  <si>
    <t>Adalberto Santos de Vasconcelos</t>
  </si>
  <si>
    <t>2019-003</t>
  </si>
  <si>
    <t>3777/2019</t>
  </si>
  <si>
    <t>Promoção Funcional - Analistas e Técnicos - Turma 1</t>
  </si>
  <si>
    <t>25/03 a 20/09/2019</t>
  </si>
  <si>
    <t>Hanna Gabriela Lucena de Barron</t>
  </si>
  <si>
    <t>2019-004</t>
  </si>
  <si>
    <t>6873/2019</t>
  </si>
  <si>
    <t>Noções Básicas de Auditoria e Acompanhamento - Turma 1</t>
  </si>
  <si>
    <t>22, 26 e 30/04/2019</t>
  </si>
  <si>
    <t>Cinthia Thais de Carvalho Luz Thomazi; David da Silva de Araujo</t>
  </si>
  <si>
    <t>2019-005</t>
  </si>
  <si>
    <t>8493/2019</t>
  </si>
  <si>
    <t>Curso Encontro com Novos Gestores - Turma 1</t>
  </si>
  <si>
    <t>23/04/2019</t>
  </si>
  <si>
    <t>Agnaldo Moreira Marques; Humberto de Souza Ferro Junior; Roberto Dias Santiago; Romildo Araújo da Silva</t>
  </si>
  <si>
    <t>2019-006</t>
  </si>
  <si>
    <t>Noções Básicas de Auditoria e Acompanhamento - Turma 2</t>
  </si>
  <si>
    <t>13, 14 e 17/05/2019</t>
  </si>
  <si>
    <t>Agnaldo Moreira Marques; Alexandre Pedrosa Pinheiro; Antonio Alexandre do Nascimento Filho; Cinthia Thais de Carvalho Luz Thomazi; Davi Assunção Salvador Nery de Castro; David da Silva de Araujo; Francisco Antonio Alves de Souza; Gabriel Heller; Luiz Genédio Mendes Jorge; Marcos Aurelio dos Santos; Rômulo Miranda Alvim</t>
  </si>
  <si>
    <t>2019-007</t>
  </si>
  <si>
    <t>Curso Encontro com Novos Gestores - Turma 2</t>
  </si>
  <si>
    <t>20/05/2019</t>
  </si>
  <si>
    <t>2019-008</t>
  </si>
  <si>
    <t>Curso Encontro com Novos Gestores - Turma 3</t>
  </si>
  <si>
    <t>21/05/2019</t>
  </si>
  <si>
    <t>2019-009</t>
  </si>
  <si>
    <t>11000/2019</t>
  </si>
  <si>
    <t>Documentação de Auditoria - Turma 1</t>
  </si>
  <si>
    <t>21 e 23/05/2019</t>
  </si>
  <si>
    <t>Cinthia Thais de Carvalho Luz Thomazi;David da Silva de Araujo</t>
  </si>
  <si>
    <t>2019-010</t>
  </si>
  <si>
    <t>10489/2019</t>
  </si>
  <si>
    <t>Matriz de Responsabilização - Turma 1</t>
  </si>
  <si>
    <t>22, 24 e 29/05/2019</t>
  </si>
  <si>
    <t>Gabriel Heller</t>
  </si>
  <si>
    <t>2019-011</t>
  </si>
  <si>
    <t>11663/2019</t>
  </si>
  <si>
    <t>SAS Área Meio</t>
  </si>
  <si>
    <t>27/05 a 03/06/2019</t>
  </si>
  <si>
    <t>Frederico Nardotto</t>
  </si>
  <si>
    <t>2019-012</t>
  </si>
  <si>
    <t>Matriz de Responsabilização - Turma 2</t>
  </si>
  <si>
    <t>06, 07e 10/06/2019</t>
  </si>
  <si>
    <t>2019-013</t>
  </si>
  <si>
    <t>Documentação de Auditoria - Turma 2</t>
  </si>
  <si>
    <t>17 e 19/06/2019</t>
  </si>
  <si>
    <t>2019-014</t>
  </si>
  <si>
    <t>Curso Encontro com Novos Gestores - Turma 4</t>
  </si>
  <si>
    <t>18/06/2019</t>
  </si>
  <si>
    <t>2019-015</t>
  </si>
  <si>
    <t>Matriz de Responsabilização - Turma 3</t>
  </si>
  <si>
    <t>27/06 a 05/07/2019</t>
  </si>
  <si>
    <t>2019-016</t>
  </si>
  <si>
    <t>13550/2019</t>
  </si>
  <si>
    <t>Oficina de Amostragem em Auditoria - Turma 1</t>
  </si>
  <si>
    <t>01, 04e 08/07/2019</t>
  </si>
  <si>
    <t>Carlos Alberto Cascão Junior</t>
  </si>
  <si>
    <t>2019-017</t>
  </si>
  <si>
    <t>12503/2019</t>
  </si>
  <si>
    <t>Gestão e Controle da Conta Vinculada aos Contratos de Terceirização - Turma 1</t>
  </si>
  <si>
    <t>08, 09, 10 e 11/07/2019</t>
  </si>
  <si>
    <t>2019-018</t>
  </si>
  <si>
    <t>13682/2019</t>
  </si>
  <si>
    <t>SISAUDIT - Turma 1</t>
  </si>
  <si>
    <t>12 e 15/07/2019</t>
  </si>
  <si>
    <t>DAVI ASSUNCAO SALVADOR NERY DE CASTRO</t>
  </si>
  <si>
    <t>2019-019</t>
  </si>
  <si>
    <t>SISAUDIT T2</t>
  </si>
  <si>
    <t>01 e 06/08/2019</t>
  </si>
  <si>
    <t>Davi Assunção Salvador Nery de Castro</t>
  </si>
  <si>
    <t>2019-020</t>
  </si>
  <si>
    <t>Oficina de Amostragem em Auditoria - Turma 2</t>
  </si>
  <si>
    <t>13, 15 e 20/08/2019</t>
  </si>
  <si>
    <t>2019-021</t>
  </si>
  <si>
    <t>3890/2019</t>
  </si>
  <si>
    <t>XXV SEMAT</t>
  </si>
  <si>
    <t>19 e 21/08/2019</t>
  </si>
  <si>
    <t>Luiz Genédio Mendes Jorge; Silvio César da Silva Lima; André Luís de Carvalho; Marcos Felipe Pinheiro Lima; Regina Célia Dias; Adler Anaximandro de Cruz e Alves; Inácio Magalhães Filho</t>
  </si>
  <si>
    <t>2019-022</t>
  </si>
  <si>
    <t>Gestão e Controle da Conta Vinculada aos Contratos de Terceirização - Turma 2</t>
  </si>
  <si>
    <t>26, 27, 28 e 29/08/2019</t>
  </si>
  <si>
    <t>2019-023</t>
  </si>
  <si>
    <t>14719/2019</t>
  </si>
  <si>
    <t>Oratória</t>
  </si>
  <si>
    <t>26/08 a 29/09/2019</t>
  </si>
  <si>
    <t>Suelly Cobucci</t>
  </si>
  <si>
    <t>2019-024</t>
  </si>
  <si>
    <t>Promoção Funcional - Auditores - Turma 2</t>
  </si>
  <si>
    <t>02, 03, 04, 05e 09/09/2019</t>
  </si>
  <si>
    <t>2019-025</t>
  </si>
  <si>
    <t>Promoção Funcional - Analistas e Técnicos - Turma 2</t>
  </si>
  <si>
    <t>11, 13, 16, 17 e 20/09/2019</t>
  </si>
  <si>
    <t>HANNA GABRIELA LUCENA DE BARRON</t>
  </si>
  <si>
    <t>2019-026</t>
  </si>
  <si>
    <t>15332/2019</t>
  </si>
  <si>
    <t>Gestão Emocional e Relacionamentos Interpessoais</t>
  </si>
  <si>
    <t>11/09 a 09/10/2019</t>
  </si>
  <si>
    <t>ISAC MENDES CAIXETA DE PAMPLONA ARAUJO</t>
  </si>
  <si>
    <t>2019-027</t>
  </si>
  <si>
    <t>14069/2019; 20174/2019</t>
  </si>
  <si>
    <t>Secretariado Executivo e Assessoria em face dos novos desafios da Administração Pública</t>
  </si>
  <si>
    <t>16, 18, 19 e 20/09/2019</t>
  </si>
  <si>
    <t>Suely Cobucci; David Pereira Pires Filho; Mônica Gomes da Silva; Polyana Mota Resende</t>
  </si>
  <si>
    <t>2019-028</t>
  </si>
  <si>
    <t>Matriz de Responsabilização - Turma 4</t>
  </si>
  <si>
    <t>18, 20 e 23/09/2019</t>
  </si>
  <si>
    <t>2019-029</t>
  </si>
  <si>
    <t>18528/2019</t>
  </si>
  <si>
    <t>Planilhas de Terceirização de Mão de Obra</t>
  </si>
  <si>
    <t>23, 24, 25, 26 e 27/09/2019</t>
  </si>
  <si>
    <t>2019-030</t>
  </si>
  <si>
    <t>20034/2019</t>
  </si>
  <si>
    <t>Elaboração de Ementas</t>
  </si>
  <si>
    <t>01, 02e 03/10/2019</t>
  </si>
  <si>
    <t>Guilherme Barbosa Neto</t>
  </si>
  <si>
    <t>2019-031</t>
  </si>
  <si>
    <t>Gestão e Controle da Conta Vinculada aos Contratos de Terceirização - Turma 3</t>
  </si>
  <si>
    <t>07, 08, 09e 10/10/2019</t>
  </si>
  <si>
    <t>2019-032</t>
  </si>
  <si>
    <t>Experiência do STF com Sustentabilidade</t>
  </si>
  <si>
    <t>11/10/2019</t>
  </si>
  <si>
    <t>Daniel</t>
  </si>
  <si>
    <t>2019-033</t>
  </si>
  <si>
    <t>23190/2019</t>
  </si>
  <si>
    <t>WordPress - Turma 1</t>
  </si>
  <si>
    <t>14, 16 e 18/10/2019</t>
  </si>
  <si>
    <t>Ednaldo Ramos de Souza</t>
  </si>
  <si>
    <t>2019-034</t>
  </si>
  <si>
    <t>Curso Encontro com Novos Gestores - Turma 5</t>
  </si>
  <si>
    <t>29/10/2019</t>
  </si>
  <si>
    <t>Agnaldo Moreira Marques;Roberto Dias Santiago</t>
  </si>
  <si>
    <t>2019-035</t>
  </si>
  <si>
    <t>Curso Encontro com Novos Gestores - Turma 6</t>
  </si>
  <si>
    <t>05/11/2019</t>
  </si>
  <si>
    <t>2019-036</t>
  </si>
  <si>
    <t>Oficina de Amostragem em Auditoria - Turma 3</t>
  </si>
  <si>
    <t>05, 07, 11 e 19/11/2019</t>
  </si>
  <si>
    <t>2019-037</t>
  </si>
  <si>
    <t>WordPress - Turma 2</t>
  </si>
  <si>
    <t>18, 20 e 22/11/2019</t>
  </si>
  <si>
    <t>2019-038</t>
  </si>
  <si>
    <t>24013/2019</t>
  </si>
  <si>
    <t>Curso Prático para executores de contrato - Turma 1</t>
  </si>
  <si>
    <t>19, 21, 25, 27 e 29/11/2019</t>
  </si>
  <si>
    <t>Paola Karina de Barron Sales; Fernanda Viana de Souza; Cleusa Martins Pitanga</t>
  </si>
  <si>
    <t>2019-039</t>
  </si>
  <si>
    <t>24943/2019</t>
  </si>
  <si>
    <t>Previdência Complementar: migrar ou não migrar?</t>
  </si>
  <si>
    <t>26/11/2019</t>
  </si>
  <si>
    <t>Daniel Soares Godoi Gomes de Oliveira</t>
  </si>
  <si>
    <t>2019-040</t>
  </si>
  <si>
    <t>Curso Prático para executores de contrato - Turma 2</t>
  </si>
  <si>
    <t>02, 04, 06, 10 e 12/12/2019</t>
  </si>
  <si>
    <t>2020-001</t>
  </si>
  <si>
    <t>1389/2020</t>
  </si>
  <si>
    <t>Encontro com boas práticas: Gestão estratégica, gestão de processos, gestão de riscos e os desafios enfrentados na implementação dessas práticas no STF</t>
  </si>
  <si>
    <t>24/01/2020</t>
  </si>
  <si>
    <t>Andreia Silva Rego</t>
  </si>
  <si>
    <t>2020-002</t>
  </si>
  <si>
    <t>890/2020</t>
  </si>
  <si>
    <t>Excel Básico</t>
  </si>
  <si>
    <t>27 a 31/01/2020</t>
  </si>
  <si>
    <t>Raul Carvalho</t>
  </si>
  <si>
    <t>2020-003</t>
  </si>
  <si>
    <t>224644/2019</t>
  </si>
  <si>
    <t>Desenvolver competências gerenciais garante a efetividade de equipes?</t>
  </si>
  <si>
    <t>29/01/2020</t>
  </si>
  <si>
    <t>Marcela Guimarães</t>
  </si>
  <si>
    <t>2020-004</t>
  </si>
  <si>
    <t>8170/2020</t>
  </si>
  <si>
    <t>Fórum Nacional de Auditoria</t>
  </si>
  <si>
    <t>04 e 05/03/2020</t>
  </si>
  <si>
    <t>2020-005</t>
  </si>
  <si>
    <t>Excel Intermediário</t>
  </si>
  <si>
    <t>09/03 a 30/04/2020</t>
  </si>
  <si>
    <t>2020-006</t>
  </si>
  <si>
    <t>3152/2020</t>
  </si>
  <si>
    <t>Análise econômico-financeira de concessões, PPP e privatizações</t>
  </si>
  <si>
    <t>06, 07, 08, 13, 14, 15, 16, 17, 20 e 22/04/2020</t>
  </si>
  <si>
    <t>Orivam Ibiapina da Silva; Henrique Eduardo de Oliveira</t>
  </si>
  <si>
    <t>2020-007</t>
  </si>
  <si>
    <t>2903/2020</t>
  </si>
  <si>
    <t>Noções Básicas de Bancos de Dados Relacionais e Linguagem SQL</t>
  </si>
  <si>
    <t>20, 22, 23 e 24/04/2020</t>
  </si>
  <si>
    <t>2020-008</t>
  </si>
  <si>
    <t>863/2020</t>
  </si>
  <si>
    <t>Palestra "Ansiedade em tempos de pandemia: do medo à esperança"</t>
  </si>
  <si>
    <t>15/05/2020</t>
  </si>
  <si>
    <t>2020-009</t>
  </si>
  <si>
    <t>618/2020</t>
  </si>
  <si>
    <t>Excel Básico - turma 2</t>
  </si>
  <si>
    <t>18 a 26/05/2020</t>
  </si>
  <si>
    <t>2020-010</t>
  </si>
  <si>
    <t>Palestra "Motivação em tempos de pandemia: a experiência da crise"</t>
  </si>
  <si>
    <t>29/05/2020</t>
  </si>
  <si>
    <t>Isac Mendes Caixeta de Pamplona Araújo</t>
  </si>
  <si>
    <t>2020-011</t>
  </si>
  <si>
    <t>Encontro com boas práticas - A Experiência do STF com Gestão de Risco</t>
  </si>
  <si>
    <t>05/06/2020</t>
  </si>
  <si>
    <t>2020-012</t>
  </si>
  <si>
    <t>8677/2020</t>
  </si>
  <si>
    <t>Oficina de Amostragem - Parte 1</t>
  </si>
  <si>
    <t>08, 09, 10 e 12/06/2020</t>
  </si>
  <si>
    <t>2020-013</t>
  </si>
  <si>
    <t>3608/2020</t>
  </si>
  <si>
    <t>Power BI</t>
  </si>
  <si>
    <t>15, 17, 19, 22 e 24/06/2020</t>
  </si>
  <si>
    <t>2020-014</t>
  </si>
  <si>
    <t>2579/2020</t>
  </si>
  <si>
    <t>Palestra "Estratégias para Fiscalização de PPPs e Concessões"</t>
  </si>
  <si>
    <t>16/06/2020</t>
  </si>
  <si>
    <t>Airton Roberto Rehbein</t>
  </si>
  <si>
    <t>2020-015</t>
  </si>
  <si>
    <t>Palestra "Concessão de Estacionamento Rotativo - Caso do TCE-RS"</t>
  </si>
  <si>
    <t>30/06/2020</t>
  </si>
  <si>
    <t>2020-016</t>
  </si>
  <si>
    <t>Palestra "Concessão de Estacionamento Rotativo - Caso do TCE-SC"</t>
  </si>
  <si>
    <t>07/07/2020</t>
  </si>
  <si>
    <t>Azor El Achkar</t>
  </si>
  <si>
    <t>2020-017</t>
  </si>
  <si>
    <t>Palestra "Experiência do TCE-BA com a PPP do VLT"</t>
  </si>
  <si>
    <t>04/08/2020</t>
  </si>
  <si>
    <t>Bruno Mascarenhas da Silveira Ventim e Márcio Maia Valois Costa</t>
  </si>
  <si>
    <t>2020-018</t>
  </si>
  <si>
    <t>Palestra "Experiência do TCM-RJ com a PPP do VLT"</t>
  </si>
  <si>
    <t>11/08/2020</t>
  </si>
  <si>
    <t>Rodrigo Eugênio da Silva</t>
  </si>
  <si>
    <t>2020-019</t>
  </si>
  <si>
    <t>3653/2020</t>
  </si>
  <si>
    <t>"Auditoria e Perícia em Custos de Obras Públicas"</t>
  </si>
  <si>
    <t>20/08 a 04/09/2020</t>
  </si>
  <si>
    <t>André Baeta</t>
  </si>
  <si>
    <t>2020-020</t>
  </si>
  <si>
    <t>2818/2020</t>
  </si>
  <si>
    <t>Termo de Referência</t>
  </si>
  <si>
    <t>28/09 a 08/10/2020</t>
  </si>
  <si>
    <t>2020-021</t>
  </si>
  <si>
    <t>8413/2020</t>
  </si>
  <si>
    <t>II Encontro Técnico sobre Fiscalização de Concessões e PPPs pelos Tribunais de Contas</t>
  </si>
  <si>
    <t>23 a 27/11/2020</t>
  </si>
  <si>
    <t>2021-001</t>
  </si>
  <si>
    <t>373/2021</t>
  </si>
  <si>
    <t>Encontros Novo Manual de Auditoria - Inovações</t>
  </si>
  <si>
    <t>02/02/2021</t>
  </si>
  <si>
    <t>Francisco Antonio Alves de Souza; Rômulo Miranda Alvim</t>
  </si>
  <si>
    <t>2021-002</t>
  </si>
  <si>
    <t>Encontros Novo Manual de Auditoria - Auditoria</t>
  </si>
  <si>
    <t>09/02/2021</t>
  </si>
  <si>
    <t>2021-003</t>
  </si>
  <si>
    <t>Encontros Novo Manual de Auditoria - Levantamento e monitoramento</t>
  </si>
  <si>
    <t>23/02/2021</t>
  </si>
  <si>
    <t>Francisco Antonio Alves de Souza;ROMULO MIRANDA ALVIM</t>
  </si>
  <si>
    <t>2021-004</t>
  </si>
  <si>
    <t>Encontros Novo Manual de Auditoria - Inspeções</t>
  </si>
  <si>
    <t>02/03/2021</t>
  </si>
  <si>
    <t>2021-005</t>
  </si>
  <si>
    <t>1426/2021</t>
  </si>
  <si>
    <t>A experiência do TCDF com a análise de dois processos de desestatização</t>
  </si>
  <si>
    <t>04 e 05/03/2021</t>
  </si>
  <si>
    <t>Carlos Alberto Leite Coutinho Filho; Silvia Lima Damasceno Carvalho; Yasmin Carla Marchioro Silvério</t>
  </si>
  <si>
    <t>2021-006</t>
  </si>
  <si>
    <t>Encontro com boas práticas – Experiência TST com o desenvolvimento do sistema Bem-te-vi</t>
  </si>
  <si>
    <t>10/03/2021</t>
  </si>
  <si>
    <t>Ricardo José Menezes Maia</t>
  </si>
  <si>
    <t>2021-007</t>
  </si>
  <si>
    <t>1664/2021</t>
  </si>
  <si>
    <t>Palestra "O papel dos controladores sociais na gestão dos recursos públicos"</t>
  </si>
  <si>
    <t>25/03/2021</t>
  </si>
  <si>
    <t>2021-008</t>
  </si>
  <si>
    <t>2498/2021</t>
  </si>
  <si>
    <t>Planejando acordos de trabalho estratégicos</t>
  </si>
  <si>
    <t>30/03/2021</t>
  </si>
  <si>
    <t>Luiz Genédio Mendes Jorge; Thamara Dayane Cardoso Santos</t>
  </si>
  <si>
    <t>2021-009</t>
  </si>
  <si>
    <t>2725/2021</t>
  </si>
  <si>
    <t>12, 15, 16, 19 e 22/04/2021</t>
  </si>
  <si>
    <t>FRANCISCO ANTONIO ALVES DE SOUSA</t>
  </si>
  <si>
    <t>2021-010</t>
  </si>
  <si>
    <t>1443/2021</t>
  </si>
  <si>
    <t>Comunicação escrita profissional com foco no manual de redação oficial do TCDF - turma 1</t>
  </si>
  <si>
    <t>12 a 16/04/2021</t>
  </si>
  <si>
    <t>Suely Cobucci</t>
  </si>
  <si>
    <t>2021-011</t>
  </si>
  <si>
    <t>2200/2021</t>
  </si>
  <si>
    <t>Matriz de responsabilização - turma 1</t>
  </si>
  <si>
    <t>26, 28 e 30/04/2021</t>
  </si>
  <si>
    <t>2021-012</t>
  </si>
  <si>
    <t>2722/2021</t>
  </si>
  <si>
    <t>PDAF – Como melhor executar e prestar contas?</t>
  </si>
  <si>
    <t>27/04 a 06/05/2021</t>
  </si>
  <si>
    <t>Juarez Felix Medeiros;Elwys Presley dos Reis;Cristina Meirelles da Silva;Elizeth Oliveira de Azevedo</t>
  </si>
  <si>
    <t>2021-013</t>
  </si>
  <si>
    <t>2666/2021</t>
  </si>
  <si>
    <t>03 a 28/05/2021</t>
  </si>
  <si>
    <t>Paola Karina de Barron Sales; Fernanda Viana de Souza</t>
  </si>
  <si>
    <t>2021-014</t>
  </si>
  <si>
    <t>2003/2021</t>
  </si>
  <si>
    <t>Palestra Design Thinking</t>
  </si>
  <si>
    <t>Carla Ribeiro da Motta</t>
  </si>
  <si>
    <t>2021-015</t>
  </si>
  <si>
    <t>5660/2021</t>
  </si>
  <si>
    <t>Lançamento do Guia Orietador para Conselheiros de Saúde do DF</t>
  </si>
  <si>
    <t>A definir</t>
  </si>
  <si>
    <t>Tarsila Firmino Ely; Danylo Vilaça</t>
  </si>
  <si>
    <t>2021-016</t>
  </si>
  <si>
    <t>3395/2021</t>
  </si>
  <si>
    <t>As compras e a nova lei de licitações - O que mudou?</t>
  </si>
  <si>
    <t>10, 11, 13 e 14/05/2021</t>
  </si>
  <si>
    <t>Tatiana Camarão</t>
  </si>
  <si>
    <t>2021-017</t>
  </si>
  <si>
    <t>2296/2021</t>
  </si>
  <si>
    <t>Atualização gramatical - turma 1</t>
  </si>
  <si>
    <t>11, 13, 18, 19 e 20/05/2021</t>
  </si>
  <si>
    <t>Wanderson Melo</t>
  </si>
  <si>
    <t>2021-018</t>
  </si>
  <si>
    <t>Conhecendo o Design thinking - turma 1</t>
  </si>
  <si>
    <t>14 a 21/05/2021</t>
  </si>
  <si>
    <t>2021-019</t>
  </si>
  <si>
    <t>24 a 28/05/2021</t>
  </si>
  <si>
    <t>2021-020</t>
  </si>
  <si>
    <t>3287/2021</t>
  </si>
  <si>
    <t>25/05 a 10/06/2021</t>
  </si>
  <si>
    <t>Orivam Ibiapina da Silva; Carlos Alberto Leite Coutinho Filho</t>
  </si>
  <si>
    <t>2021-021</t>
  </si>
  <si>
    <t>2630/2021</t>
  </si>
  <si>
    <t>Capacitação a distância e Planejamento e Design de Capacitações</t>
  </si>
  <si>
    <t>31/05 a 28/06/2021</t>
  </si>
  <si>
    <t>Andrea Filatro</t>
  </si>
  <si>
    <t>2021-022</t>
  </si>
  <si>
    <t>1409/2021</t>
  </si>
  <si>
    <t>Palestra "Sisaudit"</t>
  </si>
  <si>
    <t>2021-023</t>
  </si>
  <si>
    <t>5037/2021</t>
  </si>
  <si>
    <t>Café &amp; Tertúlia - encontro 1</t>
  </si>
  <si>
    <t>11/06/2021</t>
  </si>
  <si>
    <t>Isac Mendes Caixeta de Pamplona Araújo; Francisco Antonio Alves de Souza</t>
  </si>
  <si>
    <t>2021-024</t>
  </si>
  <si>
    <t>3769/2021</t>
  </si>
  <si>
    <t>Controle Social, Trasnparência e Acesso à Informação - Teoria e Prática</t>
  </si>
  <si>
    <t>14, 16 e 18/06/2021</t>
  </si>
  <si>
    <t>Indio Artiaga do Brasil Rabelo</t>
  </si>
  <si>
    <t>2021-025</t>
  </si>
  <si>
    <t>Comunicação escrita profissional com foco no manual de redação oficial do TCDF - turma 2</t>
  </si>
  <si>
    <t>14 a 18/06/2021</t>
  </si>
  <si>
    <t>2021-026</t>
  </si>
  <si>
    <t>5220/2021</t>
  </si>
  <si>
    <t>Contratações Públicas com base na nova lei de licitações - Lei nº 14.133/2021</t>
  </si>
  <si>
    <t>08, 09, 15, 16 e 19/07/2021</t>
  </si>
  <si>
    <t>Cláudio Sarian e Ronny Charles</t>
  </si>
  <si>
    <t>2021-027</t>
  </si>
  <si>
    <t>Atualização gramatical - turma 2</t>
  </si>
  <si>
    <t>12 a 16/07/2021</t>
  </si>
  <si>
    <t>2021-028</t>
  </si>
  <si>
    <t>4259/2021</t>
  </si>
  <si>
    <t>Competências do Conselhos Regionais de Cultura e sua Relação com o Controle Social</t>
  </si>
  <si>
    <t>20 a 22/07/2021</t>
  </si>
  <si>
    <t>2021-029</t>
  </si>
  <si>
    <t>Café &amp; Tertúlia - encontro 2</t>
  </si>
  <si>
    <t>23/07/2021</t>
  </si>
  <si>
    <t>2021-030</t>
  </si>
  <si>
    <t>5252/2021</t>
  </si>
  <si>
    <t>Palestra "Siscoex"</t>
  </si>
  <si>
    <t>30/07/2021</t>
  </si>
  <si>
    <t>2021-031</t>
  </si>
  <si>
    <t>5431/2021</t>
  </si>
  <si>
    <t>A nova lei de licitações - As obras e serviços de engenharia</t>
  </si>
  <si>
    <t>05 e 06/08/2021</t>
  </si>
  <si>
    <t>Cláudio Sarian</t>
  </si>
  <si>
    <t>2021-032</t>
  </si>
  <si>
    <t>Controle Social, Trasnparência e Acesso à Informação - Teoria e Prática (turma 2)</t>
  </si>
  <si>
    <t>09, 11 e 13/08/2021</t>
  </si>
  <si>
    <t>2021-033</t>
  </si>
  <si>
    <t>3770/2021</t>
  </si>
  <si>
    <t>Excel Básico - turma 1</t>
  </si>
  <si>
    <t>09 a 13/08/2021</t>
  </si>
  <si>
    <t>2021-034</t>
  </si>
  <si>
    <t>5874/2021</t>
  </si>
  <si>
    <t>Introdução a Aprendizado de Máquina e Mineração de Dados do Diário Oficial - Turma A</t>
  </si>
  <si>
    <t>13/08 a 03/09/2021</t>
  </si>
  <si>
    <t>Thiago Faleiros</t>
  </si>
  <si>
    <t>2021-035</t>
  </si>
  <si>
    <t>6347/2021</t>
  </si>
  <si>
    <t>Contratação de Soluções de TIC conforme a Nova Lei de Licitações (turma 1)</t>
  </si>
  <si>
    <t>16 a 19/08/2021</t>
  </si>
  <si>
    <t>2021-036</t>
  </si>
  <si>
    <t>7002/2021</t>
  </si>
  <si>
    <t>Palestra LGPD</t>
  </si>
  <si>
    <t>23/08/2021</t>
  </si>
  <si>
    <t>Fábio Valgas</t>
  </si>
  <si>
    <t>2021-037</t>
  </si>
  <si>
    <t>2467/2021</t>
  </si>
  <si>
    <t>XXVI SEMAT</t>
  </si>
  <si>
    <t>30 e 31/08/2021</t>
  </si>
  <si>
    <t>Marcos Nóbrega, Cláudio Sarian, Lara Brainer e Paulo Alves</t>
  </si>
  <si>
    <t>2021-038</t>
  </si>
  <si>
    <t>7589/2021</t>
  </si>
  <si>
    <t>Oficina/SEMAT – Contratações de obras públicas conforme a nova lei de licitações.</t>
  </si>
  <si>
    <t>01/09/2021</t>
  </si>
  <si>
    <t>Adriana Cuoco Portugal; Silvia Lima Damasceno Carvalho</t>
  </si>
  <si>
    <t>2021-039</t>
  </si>
  <si>
    <t>7754/2021</t>
  </si>
  <si>
    <t>Oficina/SEMAT – Execução de Contratos Administrativos conforme a Nova Lei de Licitações</t>
  </si>
  <si>
    <t>PAOLA KARINA DE BARRON SALES</t>
  </si>
  <si>
    <t>2021-040</t>
  </si>
  <si>
    <t>8331/2021</t>
  </si>
  <si>
    <t>Curso Sistemas do TCDF - Básico</t>
  </si>
  <si>
    <t>10 a 14/09/2021</t>
  </si>
  <si>
    <t>João Guilherme Lima Candido; Alessandro Salomão Gonçalves; Leandro Oliveira Vaz de Souza; Hugo Alexandre Galindo; Josdeyvi Magalhães Russi</t>
  </si>
  <si>
    <t>2021-041</t>
  </si>
  <si>
    <t>Excel Intermediário  - turma 1</t>
  </si>
  <si>
    <t>20 a 24/09/2021</t>
  </si>
  <si>
    <t>2021-042</t>
  </si>
  <si>
    <t>6540/2021</t>
  </si>
  <si>
    <t>Comunicação Não Violenta no Trabalho</t>
  </si>
  <si>
    <t>21, 23, 28 e 04/10/2021</t>
  </si>
  <si>
    <t>Ivan Petry</t>
  </si>
  <si>
    <t>2021-043</t>
  </si>
  <si>
    <t>8356/2021</t>
  </si>
  <si>
    <t>Encontro "TCDF e a Fiscalização de Obras" - turma 1</t>
  </si>
  <si>
    <t>22/09/2021</t>
  </si>
  <si>
    <t>Silvia Lima Damasceno Carvalho</t>
  </si>
  <si>
    <t>2021-044</t>
  </si>
  <si>
    <t>Café &amp; Tertúlia - encontro 3</t>
  </si>
  <si>
    <t>24/09/2021</t>
  </si>
  <si>
    <t>2021-045</t>
  </si>
  <si>
    <t>Encontro "TCDF e a Fiscalização de Obras" - turma 2</t>
  </si>
  <si>
    <t>04/10/2021</t>
  </si>
  <si>
    <t>2021-046</t>
  </si>
  <si>
    <t>10322/2021</t>
  </si>
  <si>
    <t>Processo de Implantação da Lei Geral de Proteção de Dados no Âmbito do Tribunal de Justiça de Santa Catarina”</t>
  </si>
  <si>
    <t>14/10/2021</t>
  </si>
  <si>
    <t>Marcello Teive e Giovanni Moresco</t>
  </si>
  <si>
    <t>2021-047</t>
  </si>
  <si>
    <t>9350/2021</t>
  </si>
  <si>
    <t>Contraditório e Defesa no processo de Controle Externo</t>
  </si>
  <si>
    <t>18, 20 e 22/10/2021</t>
  </si>
  <si>
    <t>Gabriel Heller; Tarsila Firmino Ely</t>
  </si>
  <si>
    <t>2021-048</t>
  </si>
  <si>
    <t>10588/2021</t>
  </si>
  <si>
    <t>Palestra sobre o tema "Outubro Rosa".</t>
  </si>
  <si>
    <t>22/10/2021</t>
  </si>
  <si>
    <t>Andréa Discaciati de Miranda</t>
  </si>
  <si>
    <t>2021-049</t>
  </si>
  <si>
    <t>10000/2021</t>
  </si>
  <si>
    <t>Análise Econômico-Financeira de Projetos de Concessões Comuns e PPPs</t>
  </si>
  <si>
    <t>03, 04, 05, 10, 11 e 12/11/2021</t>
  </si>
  <si>
    <t>Henrique Eduardo de Oliveira; Orivam Ibiapina da Silva</t>
  </si>
  <si>
    <t>2021-050</t>
  </si>
  <si>
    <t>8999/2021</t>
  </si>
  <si>
    <t>Palestra People Analytics</t>
  </si>
  <si>
    <t>05/11/2021</t>
  </si>
  <si>
    <t>Juliana Almeida</t>
  </si>
  <si>
    <t>2021-051</t>
  </si>
  <si>
    <t>Processo de Implantação da Lei Geral de Proteção de Dados: Caso do TJSP</t>
  </si>
  <si>
    <t>08/11/2021</t>
  </si>
  <si>
    <t>Edivaldo Sartor, Claudio Matos Ramos, Fabio Maçoli, Adriano Breviglieri</t>
  </si>
  <si>
    <t>2021-052</t>
  </si>
  <si>
    <t>Curso People Analytics</t>
  </si>
  <si>
    <t>16, 17, 19, 23 e 25/11/2021</t>
  </si>
  <si>
    <t>2021-053</t>
  </si>
  <si>
    <t>10670/2021</t>
  </si>
  <si>
    <t>Denúncia, representação e consulta ao TCDF: fundamentos e prática</t>
  </si>
  <si>
    <t>18/11/2021</t>
  </si>
  <si>
    <t>2021-054</t>
  </si>
  <si>
    <t>Contratação de Soluções de TIC conforme a Nova Lei de Licitações (turma 2)</t>
  </si>
  <si>
    <t>22 a 25/11/2021</t>
  </si>
  <si>
    <t>2021-055</t>
  </si>
  <si>
    <t>Café &amp; Tertúlia - encontro 4</t>
  </si>
  <si>
    <t>10/12/2021</t>
  </si>
  <si>
    <t>2022-001</t>
  </si>
  <si>
    <t>383/2022</t>
  </si>
  <si>
    <t>Workshop Tainacan</t>
  </si>
  <si>
    <t>31/01 a 02/02/2022</t>
  </si>
  <si>
    <t>Dalton Martins</t>
  </si>
  <si>
    <t>2022-002</t>
  </si>
  <si>
    <t>436/2022</t>
  </si>
  <si>
    <t>Palestra Sisaudit - Apresentação do módulo de monitoramente e atualizações gerais do Sisaudit</t>
  </si>
  <si>
    <t>08/02/2022</t>
  </si>
  <si>
    <t>2022-003</t>
  </si>
  <si>
    <t>685/2022</t>
  </si>
  <si>
    <t>Palestra - DF PREVICOM</t>
  </si>
  <si>
    <t>17/02/2022</t>
  </si>
  <si>
    <t>Regina Célia Dias</t>
  </si>
  <si>
    <t>2022-004</t>
  </si>
  <si>
    <t>288/2022</t>
  </si>
  <si>
    <t>22/02/2022</t>
  </si>
  <si>
    <t>2022-005</t>
  </si>
  <si>
    <t>923/2022</t>
  </si>
  <si>
    <t>Fundo Penitenciário do Distrito Federal: Aplicação, Fiscalização e Monitoramento”</t>
  </si>
  <si>
    <t>23/02/2022</t>
  </si>
  <si>
    <t>Indio Artiaga do Brasil Rabelo; Daniela Fonseca de Santana; Cristiano Tavares Torquato; Luís Mauro Albuquerque Araújo</t>
  </si>
  <si>
    <t>2022-006</t>
  </si>
  <si>
    <t>Café e Tertúlia</t>
  </si>
  <si>
    <t>11/03/2022</t>
  </si>
  <si>
    <t>2022-007</t>
  </si>
  <si>
    <t>12119/2021</t>
  </si>
  <si>
    <t>Blockchain</t>
  </si>
  <si>
    <t>13 a 25/03/2022</t>
  </si>
  <si>
    <t>Claudio Gottshalg</t>
  </si>
  <si>
    <t>2022-008</t>
  </si>
  <si>
    <t>2398/2022</t>
  </si>
  <si>
    <t>Roda de Conversa - Mulheres que inspiram o DF</t>
  </si>
  <si>
    <t>22/03/2022</t>
  </si>
  <si>
    <t>Sandra Vitorino; Fernanda Werneck; Nair Heloisa Bicalho de Sousa; Dyarley Viana</t>
  </si>
  <si>
    <t>2022-009</t>
  </si>
  <si>
    <t>2177/2022</t>
  </si>
  <si>
    <t>Palestra TCDF e a Fiscalização de Obras - UnB</t>
  </si>
  <si>
    <t>04/04/2022</t>
  </si>
  <si>
    <t>Adriana Cuoco Portugal</t>
  </si>
  <si>
    <t>2022-010</t>
  </si>
  <si>
    <t>12718/2021</t>
  </si>
  <si>
    <t>Lei 14.133/21 – Principais Inovações</t>
  </si>
  <si>
    <t>04, 05, 08, 12 e 13/04/2022</t>
  </si>
  <si>
    <t>Marcos Nóbrega</t>
  </si>
  <si>
    <t>2022-011</t>
  </si>
  <si>
    <t>708/2022</t>
  </si>
  <si>
    <t>Atualização Gramatical</t>
  </si>
  <si>
    <t>25/04/2022 a 05/05/2022</t>
  </si>
  <si>
    <t>2022-012</t>
  </si>
  <si>
    <t>1719/2022</t>
  </si>
  <si>
    <t>Comunicação não Violenta</t>
  </si>
  <si>
    <t>10, 12, 17 e 19/05/2022</t>
  </si>
  <si>
    <t>2022-013</t>
  </si>
  <si>
    <t>13/05/2022</t>
  </si>
  <si>
    <t>2022-014</t>
  </si>
  <si>
    <t>Palestra TCDF e a Fiscalização de Obras - Ceub</t>
  </si>
  <si>
    <t>16/05/2022</t>
  </si>
  <si>
    <t>ADRIANA CUOCO PORTUGAL</t>
  </si>
  <si>
    <t>2022-015</t>
  </si>
  <si>
    <t>4023/2022</t>
  </si>
  <si>
    <t>16/05 a 01/06/2022</t>
  </si>
  <si>
    <t>ORIVAM IBIAPINA DA SILVA;CARLOS ALBERTO LEITE COUTINHO FILHO;YASMIN CARLA MARCHIORO SILVERIO</t>
  </si>
  <si>
    <t>2022-016</t>
  </si>
  <si>
    <t>4581/2022</t>
  </si>
  <si>
    <t>Denúncia, representação e consulta ao TCDF: fundamentos e prática - turma 2</t>
  </si>
  <si>
    <t>17/05/2022</t>
  </si>
  <si>
    <t>2022-017</t>
  </si>
  <si>
    <t>5400/2022</t>
  </si>
  <si>
    <t>Curso e-CONTAS</t>
  </si>
  <si>
    <t>19/05/2022</t>
  </si>
  <si>
    <t>Leandro Oliveira Vaz de Souza</t>
  </si>
  <si>
    <t>2022-018</t>
  </si>
  <si>
    <t>2730/2022</t>
  </si>
  <si>
    <t>Treinamento Mais Tempo, Mais Produtividade (Gestão do Tempo)</t>
  </si>
  <si>
    <t>26/05 a 09/06/2022</t>
  </si>
  <si>
    <t>Gabriela Brasil</t>
  </si>
  <si>
    <t>2022-019</t>
  </si>
  <si>
    <t>5394/2022</t>
  </si>
  <si>
    <t>Ambientação</t>
  </si>
  <si>
    <t>27/05 a 02/06/2022</t>
  </si>
  <si>
    <t>Ivana Campos Dessen; Tatianne Cristine Oliveira Hatem; Remy Soares de Carvalho; Francisco Carneiro de Souza; Luiz Genédio Mendes Jorge; Hanna Gabriela Lucena de Barron; Rodrigo de Pina Alvares; Mikhail Gorbachev Guy Eirado; João Guilherme Lima Candido; Regina Célia Dias; Elaine Marins de Araujo; Thamara Dayane Cardoso Santos; José Euclides Andrade Viana; Marcos Felipe Pinheiro Lima; Alexandre Pedrosa Pinheiro; Agnaldo Moreira Marques; Marcos Aurelio dos Santos; Antonio Carlos Dantas de Oliveira; José Roberto Alcuri Junior; Rômulo Miranda Alvim; Leandro Oliveira Vaz de Souza</t>
  </si>
  <si>
    <t>2022-020</t>
  </si>
  <si>
    <t>4677/2022</t>
  </si>
  <si>
    <t>Denúncia ao TCDF: como o controle social pode contribuir com o controle externo</t>
  </si>
  <si>
    <t>31/05/2022</t>
  </si>
  <si>
    <t>2022-021</t>
  </si>
  <si>
    <t>4857/2022</t>
  </si>
  <si>
    <t>Curso Básico em Sistemas do TCDF</t>
  </si>
  <si>
    <t>03/06/2022</t>
  </si>
  <si>
    <t>João Guilherme Lima Candido; Leandro Oliveira Vaz de Souza; Raíssa Rodrigues Freire</t>
  </si>
  <si>
    <t>2022-022</t>
  </si>
  <si>
    <t>6135/2022</t>
  </si>
  <si>
    <t>Palestra "Apresentação do manual de auditoria e demais fiscalizações do TCDF"</t>
  </si>
  <si>
    <t>06/06/2022</t>
  </si>
  <si>
    <t>2022-023</t>
  </si>
  <si>
    <t>1711/2022</t>
  </si>
  <si>
    <t>Capacitação em TD&amp;E - Análise de Necessidades de Treinamento, Planejamento Instrucional e Avaliação.</t>
  </si>
  <si>
    <t>21/06 a 21/09/2022</t>
  </si>
  <si>
    <t>Aline de Sousa Nascimento; Fernanda Drummond Ruas Gaspar e Simarly Maria Soares.</t>
  </si>
  <si>
    <t>2022-024</t>
  </si>
  <si>
    <t>7160/2022</t>
  </si>
  <si>
    <t>Oficina "Diversidade e Inclusão"</t>
  </si>
  <si>
    <t>ENAP - Anna Paula Feminella; Maria Gutenara Martins Araújo; Eduardo Gomor dos Santos</t>
  </si>
  <si>
    <t>2022-025</t>
  </si>
  <si>
    <t>305/2022</t>
  </si>
  <si>
    <t>Controle Social, Trasnparência e Acesso à Informação - Teoria e Prática (turma 1),</t>
  </si>
  <si>
    <t>11, 13 e 15/07/2022</t>
  </si>
  <si>
    <t>2022-026</t>
  </si>
  <si>
    <t>7436/2022</t>
  </si>
  <si>
    <t>Monitoramento como instrumento de fiscalização no âmbito do TCDF</t>
  </si>
  <si>
    <t>20 e 22/07/2022</t>
  </si>
  <si>
    <t>Luciana Alvim</t>
  </si>
  <si>
    <t>2022-027</t>
  </si>
  <si>
    <t>8179/2022</t>
  </si>
  <si>
    <t>V Workshop do projeto KnEDLe (Knowledge Extration from Documents of Legal Content)</t>
  </si>
  <si>
    <t>29/07/2022</t>
  </si>
  <si>
    <t>2022-028</t>
  </si>
  <si>
    <t>1792/2022</t>
  </si>
  <si>
    <t>Curso Sisaudit - módulo monitoramento - turma 1</t>
  </si>
  <si>
    <t>02 e 04/08/2022</t>
  </si>
  <si>
    <t>Indio Artiaga do Brasil Rabelo; Davi Assunção Salvador Nery de Castro</t>
  </si>
  <si>
    <t>2022-029</t>
  </si>
  <si>
    <t>7819/2022</t>
  </si>
  <si>
    <t>Roda de Conversa "Boas Práticas de Sustentabilidade e Proteção do Meio Ambiente no DF"</t>
  </si>
  <si>
    <t>05/08/2022</t>
  </si>
  <si>
    <t>Francis Lopes; Heron Sena; Ana Carla Borges; Hanna Gabriela Lucena de Barron</t>
  </si>
  <si>
    <t>2022-030</t>
  </si>
  <si>
    <t>7335/2022</t>
  </si>
  <si>
    <t>Controle Externo das Concessão de Serviços de Transporte Coletivo por Ônibus: auditoria do processo licitatório e da execução contratual</t>
  </si>
  <si>
    <t>08 a 12/08/2022</t>
  </si>
  <si>
    <t>2022-031</t>
  </si>
  <si>
    <t>6536/2022</t>
  </si>
  <si>
    <t>2022-032</t>
  </si>
  <si>
    <t>Curso Sisaudit - módulo monitoramento - turma 2</t>
  </si>
  <si>
    <t>16 e 18/08/2022</t>
  </si>
  <si>
    <t>INDIO ARTIAGA DO BRASIL RABELO; DAVI ASSUNCAO SALVADOR NERY DE CASTRO</t>
  </si>
  <si>
    <t>2022-033</t>
  </si>
  <si>
    <t>7116/2022</t>
  </si>
  <si>
    <t>Palestra TCDF e a Fiscalização de Obras - 2º semestre</t>
  </si>
  <si>
    <t>22/08/2022</t>
  </si>
  <si>
    <t>2022-034</t>
  </si>
  <si>
    <t>8883/2022</t>
  </si>
  <si>
    <t>Encontro Regional - Atricon 30 anos</t>
  </si>
  <si>
    <t>26/08/2022</t>
  </si>
  <si>
    <t>2022-035</t>
  </si>
  <si>
    <t>10215/2022</t>
  </si>
  <si>
    <t>Apresentação do Sistema de Cálculo de Prescrição</t>
  </si>
  <si>
    <t>02/09/2022</t>
  </si>
  <si>
    <t>2022-036</t>
  </si>
  <si>
    <t>10466/2022</t>
  </si>
  <si>
    <t>Estudo de Caso - Obra do Túnel de Taguatinga</t>
  </si>
  <si>
    <t>09/09/2022</t>
  </si>
  <si>
    <t>2022-037</t>
  </si>
  <si>
    <t>6575/2022</t>
  </si>
  <si>
    <t>12 a 16/09/2022</t>
  </si>
  <si>
    <t>2022-038</t>
  </si>
  <si>
    <t>7818/2022</t>
  </si>
  <si>
    <t>Treinamento Mais Tempo, Mais Produtividade (Gestão do Tempo) - turma 2</t>
  </si>
  <si>
    <t>13, 15, 20 e 22/09/2022</t>
  </si>
  <si>
    <t>2022-039</t>
  </si>
  <si>
    <t>6105/2022</t>
  </si>
  <si>
    <t>Mentorias individuais para os gestores do TCDF</t>
  </si>
  <si>
    <t>13/09 a 14/12/2022</t>
  </si>
  <si>
    <t>2022-040</t>
  </si>
  <si>
    <t>9774/2022</t>
  </si>
  <si>
    <t>Visão SIstêmica dos Instrumentos de Fiscalização do TCDF e Boas Práticas em Documentação em Auditoria - turma A</t>
  </si>
  <si>
    <t>19, 21 e 27/09/2022</t>
  </si>
  <si>
    <t>2022-041</t>
  </si>
  <si>
    <t>Visão SIstêmica dos Instrumentos de Fiscalização do TCDF e Boas Práticas em Documentação em Auditoria - turma B</t>
  </si>
  <si>
    <t>19, 23 e 29/09/2022</t>
  </si>
  <si>
    <t>2022-042</t>
  </si>
  <si>
    <t>4891/2022</t>
  </si>
  <si>
    <t>Gestão da Conta Vinculada</t>
  </si>
  <si>
    <t>26 a 29/09/2022</t>
  </si>
  <si>
    <t>Thiago Bergmann</t>
  </si>
  <si>
    <t>2022-043</t>
  </si>
  <si>
    <t>11397/2022</t>
  </si>
  <si>
    <t>Palestra sobre o tema "Setembro Amarelo"</t>
  </si>
  <si>
    <t>30/09/2022</t>
  </si>
  <si>
    <t>Anny Mesquita; Isac Mendes Caixeta de Pamplona Araújo</t>
  </si>
  <si>
    <t>2022-044</t>
  </si>
  <si>
    <t>6578/2022</t>
  </si>
  <si>
    <t>03 a 07/10/2022</t>
  </si>
  <si>
    <t>2022-045</t>
  </si>
  <si>
    <t>5836/2022</t>
  </si>
  <si>
    <t>Como entender e se proteger aplicando a Lei Maria da Penha</t>
  </si>
  <si>
    <t>03, 05 e 07/10/2022</t>
  </si>
  <si>
    <t>Tarsila Firmino Ely;José Elias</t>
  </si>
  <si>
    <t>2022-046</t>
  </si>
  <si>
    <t>9568/2022</t>
  </si>
  <si>
    <t>Palestra " Educar sem pirar: estratégias para despertar e manter a motivação dos filhos para os estudos"</t>
  </si>
  <si>
    <t>07/10/2022</t>
  </si>
  <si>
    <t>Taís e Roberta Bento</t>
  </si>
  <si>
    <t>2022-047</t>
  </si>
  <si>
    <t>11363/2022</t>
  </si>
  <si>
    <t>SEMAT 2022</t>
  </si>
  <si>
    <t>10 e 11/10/2022</t>
  </si>
  <si>
    <t>Sebastião Helvécio; Sandro Dezan; Elwys Presley dos Reis; Luciano Troncoso; Paulo Alves Honorato; Gustavo Hermes; Carlos Alberto Leite Coutinho Filho; Daniel Soares Godoi Gomes de Oliveira</t>
  </si>
  <si>
    <t>2022-048</t>
  </si>
  <si>
    <t>11590/2022</t>
  </si>
  <si>
    <t>Oficina SEMAT - PPPs</t>
  </si>
  <si>
    <t>13 e 14/10/2022</t>
  </si>
  <si>
    <t>Daniel Soares Godoi Gomes de Oliveira; Carlos Alberto Leite Coutinho Filho</t>
  </si>
  <si>
    <t>2022-049</t>
  </si>
  <si>
    <t>11594/2022</t>
  </si>
  <si>
    <t>Oficina SEMAT - eContas (turma 1)</t>
  </si>
  <si>
    <t>13/10/2022</t>
  </si>
  <si>
    <t>2022-050</t>
  </si>
  <si>
    <t>11276/2022</t>
  </si>
  <si>
    <t>Visita dos filhos ao trabalho</t>
  </si>
  <si>
    <t>14/10/2022</t>
  </si>
  <si>
    <t>2022-051</t>
  </si>
  <si>
    <t>Curso Liderando e desenvolvendo equipes</t>
  </si>
  <si>
    <t>17/10 a 11/11/2022</t>
  </si>
  <si>
    <t>2022-052</t>
  </si>
  <si>
    <t>8215/2022</t>
  </si>
  <si>
    <t>Curso de Capacitação para Conselheiros de Saúde</t>
  </si>
  <si>
    <t>18 a 21/10/2022</t>
  </si>
  <si>
    <t>2022-053</t>
  </si>
  <si>
    <t>12148/2022</t>
  </si>
  <si>
    <t>Palestra Sisaudit - Inspeção</t>
  </si>
  <si>
    <t>20/10/2022</t>
  </si>
  <si>
    <t>Davi Assunção Salvador Nery de Castro; Indio Artiaga do Brasil Rabelo</t>
  </si>
  <si>
    <t>2022-054</t>
  </si>
  <si>
    <t>8063/2022</t>
  </si>
  <si>
    <t>Encontro Técnico Nacional de Auditoria de Obras Públicas</t>
  </si>
  <si>
    <t>24 a 26/10/2022</t>
  </si>
  <si>
    <t>2022-055</t>
  </si>
  <si>
    <t>12944/2022</t>
  </si>
  <si>
    <t>Palestra Tecnologias aplicadas à educação e formação de instrutores</t>
  </si>
  <si>
    <t>27/10/2022</t>
  </si>
  <si>
    <t>Fernando Assis</t>
  </si>
  <si>
    <t>2022-056</t>
  </si>
  <si>
    <t>11505/2022</t>
  </si>
  <si>
    <t>Palestra TCDF e a fiscalização de obras + Estudo de caso: obra do túnel de taguatinga</t>
  </si>
  <si>
    <t>04/11/2022</t>
  </si>
  <si>
    <t>2022-057</t>
  </si>
  <si>
    <t>Palestra "A cura pode estar em suas mãos"</t>
  </si>
  <si>
    <t>2022-058</t>
  </si>
  <si>
    <t>9359/2022</t>
  </si>
  <si>
    <t>Termo de Referência e Estudo Técnico Preliminar à Luz da Nova Lei de Licitações</t>
  </si>
  <si>
    <t>07, 11, 16 e 25/11/2022</t>
  </si>
  <si>
    <t>Paulo Alves</t>
  </si>
  <si>
    <t>2022-059</t>
  </si>
  <si>
    <t>9072/2022</t>
  </si>
  <si>
    <t>Dois passos para se escrever com segurança e destreza</t>
  </si>
  <si>
    <t>08/11 a 06/12/2022</t>
  </si>
  <si>
    <t>João Dino</t>
  </si>
  <si>
    <t>2022-060</t>
  </si>
  <si>
    <t>12853/2022</t>
  </si>
  <si>
    <t>Curso de capacitação para auditores - auditoria em saúde</t>
  </si>
  <si>
    <t>08, 10, 16, 17 e 18/11/2022</t>
  </si>
  <si>
    <t>2022-061</t>
  </si>
  <si>
    <t>21, 23 e 25/11/2022</t>
  </si>
  <si>
    <t>INDIO ARTIAGA DO BRASIL RABELO</t>
  </si>
  <si>
    <t>2022-062</t>
  </si>
  <si>
    <t>11407/2022</t>
  </si>
  <si>
    <t>Matriz de Responsabilização</t>
  </si>
  <si>
    <t>22, 23 e 25/11/2022</t>
  </si>
  <si>
    <t>2022-063</t>
  </si>
  <si>
    <t>14061/2022</t>
  </si>
  <si>
    <t>Palestra "Nova Lei de Licitações e Contratos: principais mudanças e novidades"</t>
  </si>
  <si>
    <t>14/12/2022</t>
  </si>
  <si>
    <t>André Luiz da Cruz Marques</t>
  </si>
  <si>
    <t>2023-001</t>
  </si>
  <si>
    <t>13693/2022</t>
  </si>
  <si>
    <t>Projeto Escola de Instrutores - 2º Encontro</t>
  </si>
  <si>
    <t>26/01/2023</t>
  </si>
  <si>
    <t>ANTONIO RENATO ALVES RAINHA;IVANA CAMPOS DESSEN;PAULO JOSE GOES DALTRO;TATIANNE CRISTINE OLIVEIRA HATEM;SILVIA REGINA BATISTA MENDONCA</t>
  </si>
  <si>
    <t>2023-002</t>
  </si>
  <si>
    <t>8682/2022</t>
  </si>
  <si>
    <t>Como falar em público? Técnicas para melhorar sua comunicação e oratória</t>
  </si>
  <si>
    <t>07/02 a 28/03/2023</t>
  </si>
  <si>
    <t>Verbalize</t>
  </si>
  <si>
    <t>2023-003</t>
  </si>
  <si>
    <t>362/2023</t>
  </si>
  <si>
    <t>Planilhas de Terceirização de Mão de Obra - T1</t>
  </si>
  <si>
    <t>27/02 a 03/03/2023</t>
  </si>
  <si>
    <t>2023-004</t>
  </si>
  <si>
    <t>Palestra "Terapia transessencial: uma visão integral do cuidado humano"</t>
  </si>
  <si>
    <t>28/02/2023</t>
  </si>
  <si>
    <t>Henriqueta Ferreira da Rocha; Isac Mendes Caixeta de Pamplona Araújo</t>
  </si>
  <si>
    <t>2023-005</t>
  </si>
  <si>
    <t>1679/2023</t>
  </si>
  <si>
    <t>Seminário de Atualização em Auditoria de Obras Públicas</t>
  </si>
  <si>
    <t>Ibraop</t>
  </si>
  <si>
    <t>2023-006</t>
  </si>
  <si>
    <t>363/2023</t>
  </si>
  <si>
    <t>Roda de Conversa Boas Práticas de Controle Social no DF</t>
  </si>
  <si>
    <t>03/03/2023</t>
  </si>
  <si>
    <t>Olavo Pontes; Jovita Rosa; Jeovania Rodrigues; Everardo Aguiar</t>
  </si>
  <si>
    <t>2023-007</t>
  </si>
  <si>
    <t>1407/2023</t>
  </si>
  <si>
    <t>Roda de Mulheres - Elas por Elas</t>
  </si>
  <si>
    <t>06/03/2023</t>
  </si>
  <si>
    <t>Ismália Afonso; Tânia Maria Fontenele Mourão; Glícia Silveira</t>
  </si>
  <si>
    <t>2023-008</t>
  </si>
  <si>
    <t>561/2023</t>
  </si>
  <si>
    <t>Introdução ao processo de controle externo - T1</t>
  </si>
  <si>
    <t>07, 09, 14 e 16/03/2023</t>
  </si>
  <si>
    <t>2023-009</t>
  </si>
  <si>
    <t>952/2023</t>
  </si>
  <si>
    <t>Cine-debate: poeira e batom no Planalto Central - 50 mulheres na construção de Brasília</t>
  </si>
  <si>
    <t>07/03/2023</t>
  </si>
  <si>
    <t>Tânia Maria Fontenele Mourão</t>
  </si>
  <si>
    <t>2023-010</t>
  </si>
  <si>
    <t>Bate-papo sobre saúde sexual feminina e seu impacto na qualidade de vida da mulher</t>
  </si>
  <si>
    <t>09/03/2023</t>
  </si>
  <si>
    <t>Glícia Silveira; Ismália Afonso; Tânia Maria Fontenele Mourão</t>
  </si>
  <si>
    <t>2023-011</t>
  </si>
  <si>
    <t>1091/2023</t>
  </si>
  <si>
    <t>Café &amp; Tertúlia apresenta: mulheres no comando</t>
  </si>
  <si>
    <t>10/03/2023</t>
  </si>
  <si>
    <t>Marina Maia do Carmo</t>
  </si>
  <si>
    <t>2023-012</t>
  </si>
  <si>
    <t>2625/2023</t>
  </si>
  <si>
    <t>Curso de Ambientação de Novos Servidores</t>
  </si>
  <si>
    <t>15 a 21/03/2023</t>
  </si>
  <si>
    <t>2023-013</t>
  </si>
  <si>
    <t>1624/2023</t>
  </si>
  <si>
    <t>Gestão, Regulação e Controle Externo de Gastos em Sistemas de Transporte Coletivo por Ônibus</t>
  </si>
  <si>
    <t>20 a 24/03/2023</t>
  </si>
  <si>
    <t>2023-014</t>
  </si>
  <si>
    <t>2701/2023</t>
  </si>
  <si>
    <t>20 e 21/03/2023</t>
  </si>
  <si>
    <t>JOAO GUILHERME LIMA CANDIDO;CASSIO MURILO ALVES COSTA FILHO;RAISSA RODRIGUES FREIRE;RODRIGO VILAS BOAS LICURSI</t>
  </si>
  <si>
    <t>2023-015</t>
  </si>
  <si>
    <t>2629/2023</t>
  </si>
  <si>
    <t>Introdução ao processo de controle externo - T2</t>
  </si>
  <si>
    <t>22 e 23/03/2023</t>
  </si>
  <si>
    <t>2023-016</t>
  </si>
  <si>
    <t>2996/2023</t>
  </si>
  <si>
    <t>Palestra de lançamento do módulo SISCOEX no Painel de Acompanhamento da Gestão Fiscal e Orçamentária do Distrito Federal</t>
  </si>
  <si>
    <t>23/03/2023</t>
  </si>
  <si>
    <t>2023-017</t>
  </si>
  <si>
    <t>3006/2023</t>
  </si>
  <si>
    <t>Roda de conversas: Desafios da Paternalidade na Condução do Temperamento das Crianças</t>
  </si>
  <si>
    <t>24/03/2023</t>
  </si>
  <si>
    <t>Alice Simão</t>
  </si>
  <si>
    <t>2023-018</t>
  </si>
  <si>
    <t>3213/2023</t>
  </si>
  <si>
    <t>Curso de Áreas temáticas de Controle Externo (Curso realizado com os novos Auditores de Controle Externo, a fim de contextualizá-los sobre o Manual TCDF de Auditorias e demais fiscalizações, o sistema Sisaudit e as principais metodologias utilizadas para as fiscalizações em suas diferentes áreas)</t>
  </si>
  <si>
    <t>Cinthia Thais de Carvalho Luz Thomazi; Luciana Rocha De Melo Alvim ; DAVI ASSUNCAO SALVADOR NERY DE CASTRO;Henrique Eduardo de Oliveira;MARCOS AURELIO DOS SANTOS; ANTONIO ALEXANDRE DO NASCIMENTO FILHO;Josdeyvi Magalhes Russi ;Orivam Ibiapina da Silva; FLAVIO FIGUEIREDO CARDOSO;Jose Roberto Alcuri Junior;Elwys Presley dos Reis ;CARLOS ALBERTO LEITE COUTINHO FILHO;YASMIN CARLA MARCHIORO SILVERIO;LUIS GUSTAVO DE AQUINO CARVALHO; Vilcemar Fernandes Maia Filho;Ivan Lopes da Rocha;Renan Dias da Silva;Douglas Vieira Silva Filho ;SILVIA LIMA DAMASCENO CARVALHO;DAVID DA SILVA DE ARAUJO;LAIS BRAGA CORDEIRO AQUINO</t>
  </si>
  <si>
    <t>2023-019</t>
  </si>
  <si>
    <t>3001/2023</t>
  </si>
  <si>
    <t>VI Workshop do projeto KnEDLe (Knowledge Extration from Documents of Legal Content)</t>
  </si>
  <si>
    <t>2023-020</t>
  </si>
  <si>
    <t>Planilhas de Terceirização de Mão de Obra - T2</t>
  </si>
  <si>
    <t>27 a 31/03/2023</t>
  </si>
  <si>
    <t>2023-021</t>
  </si>
  <si>
    <t>3424/2023</t>
  </si>
  <si>
    <t>Projeto: Universidades e o TCDF – Graduação em Direito</t>
  </si>
  <si>
    <t>30/03/2023</t>
  </si>
  <si>
    <t>Antonio Renato Alves Rainha</t>
  </si>
  <si>
    <t>2023-022</t>
  </si>
  <si>
    <t>3505/2023</t>
  </si>
  <si>
    <t>Visita técnica - Fiscalização de campo (Visita realizada com os novos Auditores de Controle Externo, a fim de demonstrar como é realizada uma visita a um jurisdicionado)</t>
  </si>
  <si>
    <t>10/04/2023</t>
  </si>
  <si>
    <t>Cinthia Thais de Carvalho Luz Thomazi</t>
  </si>
  <si>
    <t>2023-023</t>
  </si>
  <si>
    <t>15005/2022</t>
  </si>
  <si>
    <t>Curso de Formação de Formadores Nível 1 - Módulo 1 - T1</t>
  </si>
  <si>
    <t>11 a 13/04/2023</t>
  </si>
  <si>
    <t>Fernando de Assis Alves e Vladimir Santos Vitovsky</t>
  </si>
  <si>
    <t>2023-024</t>
  </si>
  <si>
    <t>13572/2022</t>
  </si>
  <si>
    <t>Diálogo sobre a Lei Maria da penha</t>
  </si>
  <si>
    <t>14/04/2023</t>
  </si>
  <si>
    <t>2023-025</t>
  </si>
  <si>
    <t>535/2023</t>
  </si>
  <si>
    <t>LGPD - Ação 1 - Palestra 1 (Membros do TCDF)</t>
  </si>
  <si>
    <t>Programa de Lei Geral de Proteção de Dados</t>
  </si>
  <si>
    <t>17/04/2023</t>
  </si>
  <si>
    <t>Adriana Carla e Frank Ned</t>
  </si>
  <si>
    <t>2023-026</t>
  </si>
  <si>
    <t>LGPD - Ação 1 - Palestra 2 (Alta Administração do TCDF)</t>
  </si>
  <si>
    <t>18/04/2023</t>
  </si>
  <si>
    <t>2023-027</t>
  </si>
  <si>
    <t>LGPD - Ação 2 - Palestra para servidores do TCDF</t>
  </si>
  <si>
    <t>2023-028</t>
  </si>
  <si>
    <t>4447/2023</t>
  </si>
  <si>
    <t>TCDF e a atuação do contador público - T1</t>
  </si>
  <si>
    <t>Fernanda Viana de Souza</t>
  </si>
  <si>
    <t>2023-029</t>
  </si>
  <si>
    <t>TCDF e a atuação do contador público - T2</t>
  </si>
  <si>
    <t>2023-030</t>
  </si>
  <si>
    <t>TCDF e a atuação do contador público - T3</t>
  </si>
  <si>
    <t>19/04/2023</t>
  </si>
  <si>
    <t>2023-031</t>
  </si>
  <si>
    <t>TCDF e a atuação do contador público - T4</t>
  </si>
  <si>
    <t>2023-032</t>
  </si>
  <si>
    <t>772/2023</t>
  </si>
  <si>
    <t>Foco na liderança e desenvolvimento da mentalidade de People Analytics - T1</t>
  </si>
  <si>
    <t>03, 05, 08, 10, 12, 15, 17, 19 e 22/05/2023</t>
  </si>
  <si>
    <t>2023-033</t>
  </si>
  <si>
    <t>Planilhas de Terceirização de Mão de Obra - T3</t>
  </si>
  <si>
    <t>24 a 28/04/2023</t>
  </si>
  <si>
    <t>2023-034</t>
  </si>
  <si>
    <t>3683/2023</t>
  </si>
  <si>
    <t>A Mídia e o TCDF</t>
  </si>
  <si>
    <t>25 a 27/04/2023</t>
  </si>
  <si>
    <t>ANTONIO RENATO ALVES RAINHA;CARLOS ALBERTO LEITE COUTINHO FILHO;DANIEL SOARES GODOI GOMES DE OLIVEIRA;Gabriel Heller;HUGO TOMAZ NETO MORAES;INDIO ARTIAGA DO BRASIL RABELO;JOSDEYVI MAGALHAES RUSSI;LUIZ GENEDIO MENDES JORGE;MARCOS FELIPE PINHEIRO LIMA;MARIA DO CARMO LIMA DE VASCONCELOS;ROGERIO RIBEIRO</t>
  </si>
  <si>
    <t>2023-035</t>
  </si>
  <si>
    <t>1539/2023</t>
  </si>
  <si>
    <t>Curso Exigência e análise das condições de habilitação com base na Lei 14.133/21 - Boas práticas</t>
  </si>
  <si>
    <t>26 e 27/04/2023</t>
  </si>
  <si>
    <t>Simone Zanotello de Oliveira</t>
  </si>
  <si>
    <t>2023-036</t>
  </si>
  <si>
    <t>3866/2023</t>
  </si>
  <si>
    <t>Introdução ao processo de controle externo - T3</t>
  </si>
  <si>
    <t>02, 04, 09e 11/05/2023</t>
  </si>
  <si>
    <t>2023-037</t>
  </si>
  <si>
    <t>1338/2023</t>
  </si>
  <si>
    <t>Certified Scrum Product Owner (CSPO)</t>
  </si>
  <si>
    <t>11/05 a 14/06/2023</t>
  </si>
  <si>
    <t>K21</t>
  </si>
  <si>
    <t>2023-038</t>
  </si>
  <si>
    <t>LGPD - Ação 3</t>
  </si>
  <si>
    <t>15/05 a 14/07/2023</t>
  </si>
  <si>
    <t>Adriana Carla</t>
  </si>
  <si>
    <t>2023-039</t>
  </si>
  <si>
    <t>5617/2023</t>
  </si>
  <si>
    <t>Palestra sobre o teletrabalho</t>
  </si>
  <si>
    <t>25/05/2023</t>
  </si>
  <si>
    <t>Marcela Shakir; Thamara Dayane Cardoso Santos; Bruno Coelho</t>
  </si>
  <si>
    <t>2023-040</t>
  </si>
  <si>
    <t>Foco na liderança e desenvolvimento da mentalidade de People Analytics - T2</t>
  </si>
  <si>
    <t>12, 14, 16, 19, 21, 23, 26, 28 e 30/06/2023</t>
  </si>
  <si>
    <t>2023-041</t>
  </si>
  <si>
    <t>5917/2023</t>
  </si>
  <si>
    <t>Maratona Temática: Auditoria em saúde</t>
  </si>
  <si>
    <t>15 e 16/06/2023</t>
  </si>
  <si>
    <t>Conceição Rezende; Mabelle Roque; Jeovania Rodrigues; Hiza Carpina; Priscila Romano; Tarsila Firmino Ely; Guilherme Maluf; Marcelo Aragão; Maytê Aguiar; Henrique Eduardo de Oliveira</t>
  </si>
  <si>
    <t>2023-042</t>
  </si>
  <si>
    <t>5949/2023</t>
  </si>
  <si>
    <t>Nova Lei de Licitações e Contratos - Teoria e Aplicações</t>
  </si>
  <si>
    <t>19 a 23/06/2023</t>
  </si>
  <si>
    <t>Oswaldo Junqueira Vaz Junior</t>
  </si>
  <si>
    <t>2023-043</t>
  </si>
  <si>
    <t xml:space="preserve">Palestra sobre contratos em Saúde </t>
  </si>
  <si>
    <t>20/06/2023</t>
  </si>
  <si>
    <t>Daniel Gomes</t>
  </si>
  <si>
    <t>2023-044</t>
  </si>
  <si>
    <t>5209/2023</t>
  </si>
  <si>
    <t>Curso de Capacitação para Conselheiros de Saúde - T1</t>
  </si>
  <si>
    <t>26 a 30/06/2023</t>
  </si>
  <si>
    <t>2023-045</t>
  </si>
  <si>
    <t>7981/2023</t>
  </si>
  <si>
    <t>TCDF e a Fiscalização de Obras - T1</t>
  </si>
  <si>
    <t>26/06/2023</t>
  </si>
  <si>
    <t>2023-046</t>
  </si>
  <si>
    <t>7978/2023</t>
  </si>
  <si>
    <t>Evento de lançamento do Projeto Ideia Nova</t>
  </si>
  <si>
    <t>27/06/2023</t>
  </si>
  <si>
    <t>Leon Sólon</t>
  </si>
  <si>
    <t>2023-047</t>
  </si>
  <si>
    <t>5662/2023</t>
  </si>
  <si>
    <t>Curso Básico em e-TCDF</t>
  </si>
  <si>
    <t>03 e 04/07/2023</t>
  </si>
  <si>
    <t>2023-048</t>
  </si>
  <si>
    <t>8365/2023</t>
  </si>
  <si>
    <t>Projeto: Universidades e o TCDF - “Estudo de caso: obra de drenagem do Programa Drenar DF”</t>
  </si>
  <si>
    <t>07/07/2023</t>
  </si>
  <si>
    <t>2023-049</t>
  </si>
  <si>
    <t>7001/2023; 7137/2023</t>
  </si>
  <si>
    <t>Capacitação para Promoção Funcional - T1</t>
  </si>
  <si>
    <t>24 a 28/07/2023</t>
  </si>
  <si>
    <t>Hanna Gabriela Lucena de Barron; Rômulo Miranda Alvim</t>
  </si>
  <si>
    <t>2023-050</t>
  </si>
  <si>
    <t>7137/2023</t>
  </si>
  <si>
    <t>Palestra Gestão Pública baseada em evidências - T1</t>
  </si>
  <si>
    <t>Publix</t>
  </si>
  <si>
    <t>2023-051</t>
  </si>
  <si>
    <t>Palestra Gestão Pública baseada em evidências - T2</t>
  </si>
  <si>
    <t>2023-052</t>
  </si>
  <si>
    <t>LGPD - Ação 5</t>
  </si>
  <si>
    <t>31/07 a 28/08/2023</t>
  </si>
  <si>
    <t>Frank Ned</t>
  </si>
  <si>
    <t>2023-053</t>
  </si>
  <si>
    <t>8375/2023</t>
  </si>
  <si>
    <t>XXVIII SEMAT</t>
  </si>
  <si>
    <t>03 e 04/08/2023</t>
  </si>
  <si>
    <t>Elwys Presley dos Reis; Davi Assunção Salvador Nery de Castro; Márcia Helena da Silva; Daniel Soares Godoi Gomes de Oliveira; Henrique Eduardo de Oliveira; Flávio José Fonseca de Souza; Silvia Regina Batista Mendonça</t>
  </si>
  <si>
    <t>2023-054</t>
  </si>
  <si>
    <t>8621/2023</t>
  </si>
  <si>
    <t>Oficina SEMAT XXVIII - TIC</t>
  </si>
  <si>
    <t>07 a 08/08/2023</t>
  </si>
  <si>
    <t>Flávio José Fonseca de Souza</t>
  </si>
  <si>
    <t>2023-055</t>
  </si>
  <si>
    <t>5295/2023</t>
  </si>
  <si>
    <t>Mentorias individuais para gstores de nivel tático do TCDF</t>
  </si>
  <si>
    <t>07/08 a 05/12/2023</t>
  </si>
  <si>
    <t>2023-056</t>
  </si>
  <si>
    <t>8966/2023</t>
  </si>
  <si>
    <t>Oficina temática SEMAT - Reajustes em contratos de obras públicas – Legislação e aspectos práticos,</t>
  </si>
  <si>
    <t>07 e 08/08/2023</t>
  </si>
  <si>
    <t>2023-057</t>
  </si>
  <si>
    <t>8988/2023</t>
  </si>
  <si>
    <t>Oficina temática SEMAT – Admissões e Fiscalização de Pessoal</t>
  </si>
  <si>
    <t>07/08/2023</t>
  </si>
  <si>
    <t>Vilcemar Fernandes Maia Filho; Carlos Antônio</t>
  </si>
  <si>
    <t>2023-058</t>
  </si>
  <si>
    <t>9158/2023</t>
  </si>
  <si>
    <t>Oficina temática SEMAT - Concessões e Fiscalização de Pessoal</t>
  </si>
  <si>
    <t>08/08/2023</t>
  </si>
  <si>
    <t>Vilcemar Fernandes Maia Filho; Hugo Mesquita</t>
  </si>
  <si>
    <t>2023-059</t>
  </si>
  <si>
    <t>LGPD - Ação 4</t>
  </si>
  <si>
    <t>09/08 a 18/09/2023</t>
  </si>
  <si>
    <t>2023-060</t>
  </si>
  <si>
    <t>Curso de Formação de Formadores Nível 1 - Módulo 1 - T2</t>
  </si>
  <si>
    <t>09 a 11/08/2023</t>
  </si>
  <si>
    <t>2023-061</t>
  </si>
  <si>
    <t>7979/2023</t>
  </si>
  <si>
    <t>Teoria e prática na elaboração de ementas jurisprudenciais</t>
  </si>
  <si>
    <t>10, 11 e 17/08/2023</t>
  </si>
  <si>
    <t>Murilo Costa Moreira</t>
  </si>
  <si>
    <t>2023-062</t>
  </si>
  <si>
    <t>5918/2023</t>
  </si>
  <si>
    <t>Maratona temática: auditoria em mobilidade urbana</t>
  </si>
  <si>
    <t>16 a 18/08/2023</t>
  </si>
  <si>
    <t>2023-063</t>
  </si>
  <si>
    <t>Capacitação para Promoção Funcional - T2</t>
  </si>
  <si>
    <t>21 a 25/08/2023</t>
  </si>
  <si>
    <t>2023-064</t>
  </si>
  <si>
    <t>6269/2023</t>
  </si>
  <si>
    <t>"Regulação, Concessões e Parcerias Público-Privadas"</t>
  </si>
  <si>
    <t>28/08 a 04/09/2023</t>
  </si>
  <si>
    <t>Thiago Caldeira</t>
  </si>
  <si>
    <t>2023-065</t>
  </si>
  <si>
    <t>9004/2023</t>
  </si>
  <si>
    <t>Avaliação de Riscos e Controles</t>
  </si>
  <si>
    <t>05 a 27/09/2023</t>
  </si>
  <si>
    <t>2023-066</t>
  </si>
  <si>
    <t>9895/2023</t>
  </si>
  <si>
    <t>Nova Lei de Licitações e Contratos - Teoria e Aplicações - T2</t>
  </si>
  <si>
    <t>11 a 15/09/2023</t>
  </si>
  <si>
    <t>2023-067</t>
  </si>
  <si>
    <t>10004/2023</t>
  </si>
  <si>
    <t>A LINDB nas esferas administrativa e controladora</t>
  </si>
  <si>
    <t>12, 14, 19 e 21/09/2023</t>
  </si>
  <si>
    <t>Gabriel Heller; Danilo Morais</t>
  </si>
  <si>
    <t>2023-068</t>
  </si>
  <si>
    <t>Foco na liderança e desenvolvimento da mentalidade de People Analytics - T3</t>
  </si>
  <si>
    <t>13/09 a 02/10/2023</t>
  </si>
  <si>
    <t>2023-069</t>
  </si>
  <si>
    <t>8841/2023</t>
  </si>
  <si>
    <t>18, 20 e 22/09/2023</t>
  </si>
  <si>
    <t>2023-070</t>
  </si>
  <si>
    <t>10378/2023</t>
  </si>
  <si>
    <t>Comunicação: princípios e práticas para se relacionar com empatia e assertividade</t>
  </si>
  <si>
    <t>26 a 28/09/2023</t>
  </si>
  <si>
    <t>2023-071</t>
  </si>
  <si>
    <t>Cursos de Formação de Formadores Nível 1 - Módulo 1</t>
  </si>
  <si>
    <t>02 a 04/10/2023</t>
  </si>
  <si>
    <t>Aline Riquetti; Vilcemar Fernandes Maia Filho; Gustavo; Luis Gustavo de Aquino Carvalho; Fernanda Viana de Souza; Flávio José Fonseca de Souza; Rômulo Miranda Alvim</t>
  </si>
  <si>
    <t>2023-072</t>
  </si>
  <si>
    <t>12286/2023</t>
  </si>
  <si>
    <t>Curso de Capacitação para Conselheiros de Saúde - Região Sudoeste T1</t>
  </si>
  <si>
    <t>03 e 04/10/2023</t>
  </si>
  <si>
    <t>2023-073</t>
  </si>
  <si>
    <t>LGPD - Ação 6 - Workshop de Adequação dos contratos</t>
  </si>
  <si>
    <t>05/10/2023</t>
  </si>
  <si>
    <t>Renata de Castro</t>
  </si>
  <si>
    <t>2023-074</t>
  </si>
  <si>
    <t>9089/2023</t>
  </si>
  <si>
    <t>“Chat GPT na prática docente</t>
  </si>
  <si>
    <t>2023-075</t>
  </si>
  <si>
    <t>12258/2023</t>
  </si>
  <si>
    <t>Visita do Filhos ao Trabalho</t>
  </si>
  <si>
    <t>06/10/2023</t>
  </si>
  <si>
    <t>Fábula Cia de Teatro e mágico Tio André</t>
  </si>
  <si>
    <t>2023-076</t>
  </si>
  <si>
    <t>12521/2023</t>
  </si>
  <si>
    <t>Oficina temática - Reajustes em contratos de obras públicas – Legislação e aspectos práticos,</t>
  </si>
  <si>
    <t>08 e 09/10/2023</t>
  </si>
  <si>
    <t>Silvia Lima Damasceno Carvalho; Marcelo Athayde</t>
  </si>
  <si>
    <t>2023-077</t>
  </si>
  <si>
    <t>12261/2023</t>
  </si>
  <si>
    <t>TCDF na sociedade: fiscalizações em saúde.</t>
  </si>
  <si>
    <t>10/10/2023</t>
  </si>
  <si>
    <t>2023-078</t>
  </si>
  <si>
    <t>12703/2023</t>
  </si>
  <si>
    <t>Palestras "Ciclo de Inovação TCDF" - T1</t>
  </si>
  <si>
    <t>2023-079</t>
  </si>
  <si>
    <t>Curso de Capacitação para Conselheiros de Saúde - Região Sul T2</t>
  </si>
  <si>
    <t>17 e 18/10/2023</t>
  </si>
  <si>
    <t>2023-080</t>
  </si>
  <si>
    <t>Palestras "Ciclo de Inovação TCDF" - T2</t>
  </si>
  <si>
    <t>17/10/2023</t>
  </si>
  <si>
    <t>2023-081</t>
  </si>
  <si>
    <t>LGPD - Ação 6 - Workshop Inventário de Dados Pessoais (turma 1)</t>
  </si>
  <si>
    <t>18/10/2023</t>
  </si>
  <si>
    <t>2023-082</t>
  </si>
  <si>
    <t>Curso de Capacitação para Conselheiros de Saúde - Centro Sul T3</t>
  </si>
  <si>
    <t>19 e 20/10/2023</t>
  </si>
  <si>
    <t>2023-083</t>
  </si>
  <si>
    <t>LGPD - Ação 6 - Workshop Inventário de Dados Pessoais (turma 2)</t>
  </si>
  <si>
    <t>19/10/2023</t>
  </si>
  <si>
    <t>2023-084</t>
  </si>
  <si>
    <t>LGPD - Ação 6 - Workshop Inventário de Dados Pessoais (turma 3)</t>
  </si>
  <si>
    <t>20/10/2023</t>
  </si>
  <si>
    <t>2023-085</t>
  </si>
  <si>
    <t>12912/2023</t>
  </si>
  <si>
    <t>Atividades da 5ª Semana do Servidor do TCDF</t>
  </si>
  <si>
    <t>23 a 27/10/2023</t>
  </si>
  <si>
    <t>2023-086</t>
  </si>
  <si>
    <t>13923/2023</t>
  </si>
  <si>
    <t>Mesa “O consenso nos contratos de concessão de infraestrutura: o papel e a experiência do TCU"</t>
  </si>
  <si>
    <t>24/10/2023</t>
  </si>
  <si>
    <t>Nicola Espinheira</t>
  </si>
  <si>
    <t>2023-087</t>
  </si>
  <si>
    <t>13012/2023</t>
  </si>
  <si>
    <t>Oficina de Escrita Criativa</t>
  </si>
  <si>
    <t>25/10/2023</t>
  </si>
  <si>
    <t>2023-088</t>
  </si>
  <si>
    <t>Curso de Capacitação para Conselheiros de Saúde - Leste T4</t>
  </si>
  <si>
    <t>26 e 27/10/2023</t>
  </si>
  <si>
    <t>2023-089</t>
  </si>
  <si>
    <t>LGPD - Ação 6 - Workshop Relatório de impacto e Termos de uso</t>
  </si>
  <si>
    <t>2023-090</t>
  </si>
  <si>
    <t>13068/2023</t>
  </si>
  <si>
    <t>Café &amp; Tertúlia – especial Semana do Servidor</t>
  </si>
  <si>
    <t>27/10/2023</t>
  </si>
  <si>
    <t>2023-091</t>
  </si>
  <si>
    <t>Certified Scrum Product Owner (CSPO) - T2</t>
  </si>
  <si>
    <t>31/10 a 17/11/2023</t>
  </si>
  <si>
    <t>2023-092</t>
  </si>
  <si>
    <t>Palestras "Ciclo de Inovação TCDF" - T3</t>
  </si>
  <si>
    <t>31/10/2023</t>
  </si>
  <si>
    <t>Ana Carla Marques; Josdeyvi Magalhães Russi; Luis Gustavo de Aquino Carvalho; Henrique Eduardo de Oliveira; Rodrigo Noleto Paz; Bruno Jackson Iaccino Coelho; Mauro Sergio Dos Santos Da Silva; Ednaldo Ramos de Souza</t>
  </si>
  <si>
    <t>2023-093</t>
  </si>
  <si>
    <t>Palestras "Ciclo de Inovação TCDF" - T4</t>
  </si>
  <si>
    <t>07/11/2023</t>
  </si>
  <si>
    <t>2023-094</t>
  </si>
  <si>
    <t>12887/2023</t>
  </si>
  <si>
    <t>Maratona temática: primeira infância</t>
  </si>
  <si>
    <t>09 e 10/11/2023</t>
  </si>
  <si>
    <t>2023-095</t>
  </si>
  <si>
    <t>Curso de Capacitação para Conselheiros de Saúde - Central T5</t>
  </si>
  <si>
    <t>13 e 14/11/2023</t>
  </si>
  <si>
    <t>2023-096</t>
  </si>
  <si>
    <t>14153/2023</t>
  </si>
  <si>
    <t>Palestra “A Implementação da Nova Lei de Licitações no TCDF”</t>
  </si>
  <si>
    <t>13/11/2023</t>
  </si>
  <si>
    <t>2023-097</t>
  </si>
  <si>
    <t>Curso de Capacitação para Conselheiros de Saúde - Norte T6</t>
  </si>
  <si>
    <t>16 e 17/11/2023</t>
  </si>
  <si>
    <t>2023-098</t>
  </si>
  <si>
    <t>14667/2023</t>
  </si>
  <si>
    <t>Mentoria em elaboração de ementas jurisprudenciais</t>
  </si>
  <si>
    <t>17/11 a 08/12/2023</t>
  </si>
  <si>
    <t>Jéssyca Péres</t>
  </si>
  <si>
    <t>2023-099</t>
  </si>
  <si>
    <t>14668/2023</t>
  </si>
  <si>
    <t>2023-100</t>
  </si>
  <si>
    <t>Curso de Capacitação para Conselheiros de Saúde - Oeste T7</t>
  </si>
  <si>
    <t>21 e 22/11/2023</t>
  </si>
  <si>
    <t>2023-101</t>
  </si>
  <si>
    <t>15017/2023</t>
  </si>
  <si>
    <t>Encontro de encerramento das mentorias e apresentação do diagnóstico das lideranças no TCDF.</t>
  </si>
  <si>
    <t>24/11/2023</t>
  </si>
  <si>
    <t>2023-102</t>
  </si>
  <si>
    <t>12826/2023</t>
  </si>
  <si>
    <t>Oficina de Contratações de Tecnologia da Informação</t>
  </si>
  <si>
    <t>27 e 28/11/2023</t>
  </si>
  <si>
    <t>2023-103</t>
  </si>
  <si>
    <t>15016/2023</t>
  </si>
  <si>
    <t>Peça Teatral Antonieta de Barros: Uma história que não nos contaram.</t>
  </si>
  <si>
    <t>27/11/2023</t>
  </si>
  <si>
    <t>2023-104</t>
  </si>
  <si>
    <t>14906/2023</t>
  </si>
  <si>
    <t>Maratona Temática: auditoria em resíduos sólidos</t>
  </si>
  <si>
    <t>04 e 05/12/2023</t>
  </si>
  <si>
    <t>2023-105</t>
  </si>
  <si>
    <t>14922/2023</t>
  </si>
  <si>
    <t>Palestra “Consensualismo nos Tribunais de Contas: perspectivas sob a ótica do modelo de auditoria do setor público adotado pela Constituição brasileira”</t>
  </si>
  <si>
    <t>04/12/2023</t>
  </si>
  <si>
    <t>Ismar dos Santos Viana</t>
  </si>
  <si>
    <t>2023-106</t>
  </si>
  <si>
    <t>15206/2023</t>
  </si>
  <si>
    <t>Encontro Escola de Instrutores - Premiação</t>
  </si>
  <si>
    <t>2023-107</t>
  </si>
  <si>
    <t>14952/2023</t>
  </si>
  <si>
    <t>Palestra “Tendências e tecnologias disruptivas que impactam o Tribunal de Contas”</t>
  </si>
  <si>
    <t>07/12/2023</t>
  </si>
  <si>
    <t>Alexandre Nunes</t>
  </si>
  <si>
    <t>2023-108</t>
  </si>
  <si>
    <t>14337/2023</t>
  </si>
  <si>
    <t>Evento de Encerramento do 1º Ciclo do Curso de capacitação “in loco” para Conselheiros de Saúde do Distrito Federal.</t>
  </si>
  <si>
    <t>08/12/2023</t>
  </si>
  <si>
    <t>Tarsila Ely</t>
  </si>
  <si>
    <t>2023-109</t>
  </si>
  <si>
    <t>10814/2023</t>
  </si>
  <si>
    <t>Mentoria em Análise de Dados com o uso de Power Apps e Power BI.</t>
  </si>
  <si>
    <t>15/12/2023</t>
  </si>
  <si>
    <t>2024-001</t>
  </si>
  <si>
    <t>394/2024</t>
  </si>
  <si>
    <t>Contraditório e Defesa no Processo de Controle Externo (Turma 1)</t>
  </si>
  <si>
    <t>20, 22, 27 e 29/02/2024</t>
  </si>
  <si>
    <t>Gabriel Heller; Tarsila Firmino</t>
  </si>
  <si>
    <t>2024-002</t>
  </si>
  <si>
    <t>13950/2023</t>
  </si>
  <si>
    <t>Curso “Cadeia de Valor Institucional"</t>
  </si>
  <si>
    <t>22/02 a 08/03/2024</t>
  </si>
  <si>
    <t>2024-003</t>
  </si>
  <si>
    <t>9993/2023</t>
  </si>
  <si>
    <t>Tcendo o Futuro (1ª turma) - Colégio Mão Amiga João Paulo II - Paronoá</t>
  </si>
  <si>
    <t>03/12/2024</t>
  </si>
  <si>
    <t>Fernando de Assis Alves</t>
  </si>
  <si>
    <t>2024-004</t>
  </si>
  <si>
    <t>513/2024</t>
  </si>
  <si>
    <t>Planilhas de Terceirização de Mão de Obra, de acordo com a Lei nº 14.133/2021 - (Turma 1)</t>
  </si>
  <si>
    <t>04 a 08/03/2024</t>
  </si>
  <si>
    <t>2024-005</t>
  </si>
  <si>
    <t>784/2024</t>
  </si>
  <si>
    <t>Teoria e Prática na elaboração de ementas Jurisprudenciais</t>
  </si>
  <si>
    <t>05, 07, 12 e 14/03/2024</t>
  </si>
  <si>
    <t>Caio Filipe; Marcelo Kessler</t>
  </si>
  <si>
    <t>2024-006</t>
  </si>
  <si>
    <t>1361/2024</t>
  </si>
  <si>
    <t>Roda de Conversa: “Economia do Cuidado – o valor do trabalho invisível das mulheres e experiências das colaboradoras do TCDF”</t>
  </si>
  <si>
    <t>08/03/2024</t>
  </si>
  <si>
    <t>Maíra Liguori</t>
  </si>
  <si>
    <t>2024-007</t>
  </si>
  <si>
    <t>833/2024</t>
  </si>
  <si>
    <t>Feira com empreendedores locais (projeto Transforma-se) - Dia da Mulher</t>
  </si>
  <si>
    <t>2024-008</t>
  </si>
  <si>
    <t>710/2024</t>
  </si>
  <si>
    <t>Atendimento humanizado ao público no TCDF: Inteligência emocional e comunicação assertiva</t>
  </si>
  <si>
    <t>12 a 21/03/2024</t>
  </si>
  <si>
    <t>Isac Pamplona</t>
  </si>
  <si>
    <t>2024-009</t>
  </si>
  <si>
    <t>1125/2024</t>
  </si>
  <si>
    <t>Curso de Capacitação para Conselheiros de Saúde (Turma 1)</t>
  </si>
  <si>
    <t>18 a 22/03/2024</t>
  </si>
  <si>
    <t>2024-010</t>
  </si>
  <si>
    <t>1895/2024</t>
  </si>
  <si>
    <t>Ouvidoria Day</t>
  </si>
  <si>
    <t>19/03/2024</t>
  </si>
  <si>
    <t>Mônica; Cecília; Juliana; Demóstenes</t>
  </si>
  <si>
    <t>2024-011</t>
  </si>
  <si>
    <t>397/2024</t>
  </si>
  <si>
    <t>Curso de nivelamento em Políticas Públicas</t>
  </si>
  <si>
    <t>Avaliação de Políticas Públicas</t>
  </si>
  <si>
    <t>22/03/2024</t>
  </si>
  <si>
    <t>Leonardo Rodrigues Albernaz</t>
  </si>
  <si>
    <t>2024-012</t>
  </si>
  <si>
    <t>12891/2023</t>
  </si>
  <si>
    <t>Escola de Inatrutores: Avaliação de Aprendizagem</t>
  </si>
  <si>
    <t>01 a 05/04/2024</t>
  </si>
  <si>
    <t>2024-013</t>
  </si>
  <si>
    <t>1093/2024</t>
  </si>
  <si>
    <t>Relacionamentos Interpessoais no Trabalho</t>
  </si>
  <si>
    <t>01, 03, 05, 08 e 10/04/2024</t>
  </si>
  <si>
    <t>2024-014</t>
  </si>
  <si>
    <t>1401/2024</t>
  </si>
  <si>
    <t>Curso prático de Amostragem de Unidades Monetárias em Auditorias Financeiras</t>
  </si>
  <si>
    <t>Carlos Cascão</t>
  </si>
  <si>
    <t>2024-015</t>
  </si>
  <si>
    <t>1461/2024</t>
  </si>
  <si>
    <t>Mentoria: Quantificação de Benefícios para o TCDF</t>
  </si>
  <si>
    <t>02/04 a 23/05/2024</t>
  </si>
  <si>
    <t>Fábio Flores; Mario David</t>
  </si>
  <si>
    <t>2024-016</t>
  </si>
  <si>
    <t>Curso de Aperfeiçoamento em Avaliação e Controle de Políticas Públicas</t>
  </si>
  <si>
    <t>05, 12, 19 e 26/04/2024</t>
  </si>
  <si>
    <t>Leonardo Albernaz</t>
  </si>
  <si>
    <t>2024-017</t>
  </si>
  <si>
    <t>1865/2024</t>
  </si>
  <si>
    <t>Sua segurança importa muito! - T1</t>
  </si>
  <si>
    <t>05/04/2024</t>
  </si>
  <si>
    <t>Tarsila Firmino Ely; Antonio Renato Alves Rainha</t>
  </si>
  <si>
    <t>2024-018</t>
  </si>
  <si>
    <t>Planilhas de Terceirização de Mão de Obra, de acordo com a Lei nº 14.133/2021 - (Turma 2)</t>
  </si>
  <si>
    <t>08 a 12/04/2024</t>
  </si>
  <si>
    <t>2024-019</t>
  </si>
  <si>
    <t>2928/2024</t>
  </si>
  <si>
    <t>Mentoria em Redação de Ementas Jurisprudenciais</t>
  </si>
  <si>
    <t>08/04/2024 a 03/05/2024</t>
  </si>
  <si>
    <t>Jessyca Rodrigues</t>
  </si>
  <si>
    <t>2024-020</t>
  </si>
  <si>
    <t>Sua segurança importa muito! - T2</t>
  </si>
  <si>
    <t>12/04/2024</t>
  </si>
  <si>
    <t>2024-021</t>
  </si>
  <si>
    <t>588/2024</t>
  </si>
  <si>
    <t>Oratória e Storytelling</t>
  </si>
  <si>
    <t>15, 17, 19, 22, 24 e 29/04/2024</t>
  </si>
  <si>
    <t>2024-022</t>
  </si>
  <si>
    <t>Corregedoria Day</t>
  </si>
  <si>
    <t>02/05/2024</t>
  </si>
  <si>
    <t>2024-023</t>
  </si>
  <si>
    <t>419/2024</t>
  </si>
  <si>
    <t>Oficina PDG - O Papel do Líder - nível tatico</t>
  </si>
  <si>
    <t>03/05/2024</t>
  </si>
  <si>
    <t>Henrique Santana</t>
  </si>
  <si>
    <t>2024-024</t>
  </si>
  <si>
    <t>613/2024</t>
  </si>
  <si>
    <t>Curso básico em e-TCDF (T1)</t>
  </si>
  <si>
    <t>06 a 09/05/2024</t>
  </si>
  <si>
    <t>Cássio Murilo Alves Costa Filho</t>
  </si>
  <si>
    <t>2024-025</t>
  </si>
  <si>
    <t>3829/2024</t>
  </si>
  <si>
    <t>Universidades e o TCDF - "TCDF e a atuação administrativa no setor público" - Contabilidade T1</t>
  </si>
  <si>
    <t>08 a 10/05/2024</t>
  </si>
  <si>
    <t>2024-026</t>
  </si>
  <si>
    <t>Universidades e o TCDF - "TCDF e a atuação administrativa no setor público" - Contabilidade T2</t>
  </si>
  <si>
    <t>2024-027</t>
  </si>
  <si>
    <t>Universidades e o TCDF - "TCDF e a atuação administrativa no setor público" - Contabilidade T3</t>
  </si>
  <si>
    <t>2024-028</t>
  </si>
  <si>
    <t>Universidades e o TCDF - "TCDF e a atuação administrativa no setor público" - Eng Civil Palestra</t>
  </si>
  <si>
    <t>2024-029</t>
  </si>
  <si>
    <t>Universidades e o TCDF - "TCDF e a atuação administrativa no setor público" - Eng Civil Visita Técnica</t>
  </si>
  <si>
    <t>2024-030</t>
  </si>
  <si>
    <t>Oficina PDG - O Papel do Líder - nível operacional</t>
  </si>
  <si>
    <t>10/05/2024</t>
  </si>
  <si>
    <t>2024-031</t>
  </si>
  <si>
    <t>Happy hour - Dia da Mulher</t>
  </si>
  <si>
    <t>2024-032</t>
  </si>
  <si>
    <t>Curso de Capacitação para Conselheiros de Saúde (Turma 2)</t>
  </si>
  <si>
    <t>13 a 17/05/2024</t>
  </si>
  <si>
    <t>2024-033</t>
  </si>
  <si>
    <t>2524/2024</t>
  </si>
  <si>
    <t>Palestra "Segurança Orgânica" - servidores em geral</t>
  </si>
  <si>
    <t>14/05/2024</t>
  </si>
  <si>
    <t>Alexandre Herculano; Willian Vitoriano; Frederico Nardotto</t>
  </si>
  <si>
    <t>2024-034</t>
  </si>
  <si>
    <t>Palestra "Segurança Orgânica" - servidores Segedam e NIE</t>
  </si>
  <si>
    <t>15/05/2024</t>
  </si>
  <si>
    <t>2024-035</t>
  </si>
  <si>
    <t>Palestra "Segurança Orgânica" - terceirizados</t>
  </si>
  <si>
    <t>16/05/2024</t>
  </si>
  <si>
    <t>2024-036</t>
  </si>
  <si>
    <t>17/05/2024</t>
  </si>
  <si>
    <t>2024-037</t>
  </si>
  <si>
    <t>3810/2024</t>
  </si>
  <si>
    <t>Matriz de Responsabilização - MPDFT</t>
  </si>
  <si>
    <t>20, 22 e 24/05/2024</t>
  </si>
  <si>
    <t>2024-038</t>
  </si>
  <si>
    <t>1524/2024</t>
  </si>
  <si>
    <t>Curso de oratória para auditores de controle externo</t>
  </si>
  <si>
    <t>27/05 a 03/06/2024</t>
  </si>
  <si>
    <t>2024-039</t>
  </si>
  <si>
    <t>5386/2024</t>
  </si>
  <si>
    <t>Consulta a base de dados do TCDF usando o SAS</t>
  </si>
  <si>
    <t>28/05 a 13/06/2024</t>
  </si>
  <si>
    <t>Rômulo Miranda Alvim; Luis Gustavo de Aquino Carvalho</t>
  </si>
  <si>
    <t>2024-040</t>
  </si>
  <si>
    <t>4078/2024</t>
  </si>
  <si>
    <t>Contraditório e Defesa no Processo de Controle Externo T2</t>
  </si>
  <si>
    <t>03, 05, 07, 11 e 13/06/2024</t>
  </si>
  <si>
    <t>2024-041</t>
  </si>
  <si>
    <t>2308/2024</t>
  </si>
  <si>
    <t>MAis tempo, mais produtividade</t>
  </si>
  <si>
    <t>04, 06, 11 e 13/06/2024</t>
  </si>
  <si>
    <t>2024-042</t>
  </si>
  <si>
    <t>3873/2024</t>
  </si>
  <si>
    <t>Maratona Temática - educação</t>
  </si>
  <si>
    <t>13 e 14/06/2024</t>
  </si>
  <si>
    <t>2024-043</t>
  </si>
  <si>
    <t>Coffee-Talk PDG - O Papel do Líder - nível tatico</t>
  </si>
  <si>
    <t>14/06/2024</t>
  </si>
  <si>
    <t>2024-044</t>
  </si>
  <si>
    <t>3839/2024</t>
  </si>
  <si>
    <t>Levantamento na prática</t>
  </si>
  <si>
    <t>17 a 20/06/2024</t>
  </si>
  <si>
    <t>2024-045</t>
  </si>
  <si>
    <t>Curso básico em e-TCDF (T2)</t>
  </si>
  <si>
    <t>2024-046</t>
  </si>
  <si>
    <t>5803/2024</t>
  </si>
  <si>
    <t>Curso de Ambientação</t>
  </si>
  <si>
    <t>18 a 21/06/2024</t>
  </si>
  <si>
    <t>2024-047</t>
  </si>
  <si>
    <t>Curso em Quantificação de Benefícios para o TCDF</t>
  </si>
  <si>
    <t>18, 19, 25 e 26/06/2024</t>
  </si>
  <si>
    <t>2024-048</t>
  </si>
  <si>
    <t>Coffee-Talk PDG - O Papel do Líder - nível operacional</t>
  </si>
  <si>
    <t>21/06/2024</t>
  </si>
  <si>
    <t>2024-049</t>
  </si>
  <si>
    <t>4734/2024</t>
  </si>
  <si>
    <t>Palestra "Combate ao Assedio Moral e Sexual"</t>
  </si>
  <si>
    <t>24/06/2024</t>
  </si>
  <si>
    <t>2024-050</t>
  </si>
  <si>
    <t>Apresentação do SQB - Sistema de Quantificação de Benefícios</t>
  </si>
  <si>
    <t>27/06/2024</t>
  </si>
  <si>
    <t>2024-051</t>
  </si>
  <si>
    <t>Conectando-se ao TCDF: tour físico e virtual</t>
  </si>
  <si>
    <t>28/06/2024</t>
  </si>
  <si>
    <t>Luiz Felipe Tenório</t>
  </si>
  <si>
    <t>2024-052</t>
  </si>
  <si>
    <t>Oficina PDG - Comunicação e Feedback - nível tatico</t>
  </si>
  <si>
    <t>2024-053</t>
  </si>
  <si>
    <t>Festa Junina da Integração</t>
  </si>
  <si>
    <t>2024-054</t>
  </si>
  <si>
    <t>6589/2024</t>
  </si>
  <si>
    <t>Curso básico em e-TCDF para novos servidores (T1)</t>
  </si>
  <si>
    <t>01 a 05/07/2024</t>
  </si>
  <si>
    <t>2024-055</t>
  </si>
  <si>
    <t>7023/2024</t>
  </si>
  <si>
    <t>Formação para novos Auditores</t>
  </si>
  <si>
    <t>01 a 19/07/2024</t>
  </si>
  <si>
    <t>2024-056</t>
  </si>
  <si>
    <t>2598/2024</t>
  </si>
  <si>
    <t>Ciclo de Capacitação para gestores de Contrato – SES/IGESDF T1</t>
  </si>
  <si>
    <t>02, 03e 04/07/2024</t>
  </si>
  <si>
    <t>Tarsila Firmino Ely; Adriana Magalhães; Luciana Alvim</t>
  </si>
  <si>
    <t>2024-057</t>
  </si>
  <si>
    <t>5036/2024</t>
  </si>
  <si>
    <t>Auditoria de Obras nos Regimes de Contratação Integrada e Semi-integrada</t>
  </si>
  <si>
    <t>03/07/2024</t>
  </si>
  <si>
    <t>2024-058</t>
  </si>
  <si>
    <t>Oficina PDG - Comunicação e Feedback - nível operacional</t>
  </si>
  <si>
    <t>05/07/2024</t>
  </si>
  <si>
    <t>2024-059</t>
  </si>
  <si>
    <t>6564/2024</t>
  </si>
  <si>
    <t>Mapeamento de processos para auditoria</t>
  </si>
  <si>
    <t>22, 24 e 25/07/2024</t>
  </si>
  <si>
    <t>Caio Filipe</t>
  </si>
  <si>
    <t>2024-060</t>
  </si>
  <si>
    <t>5757/2024</t>
  </si>
  <si>
    <t>Introcução ao processo de CE (ambientação)</t>
  </si>
  <si>
    <t>24, 25, 27 e 28/07/2024</t>
  </si>
  <si>
    <t>2024-061</t>
  </si>
  <si>
    <t>Coffee-Talk PDG - Comunicação e Feedback - nível tatico</t>
  </si>
  <si>
    <t>26/07/2024</t>
  </si>
  <si>
    <t>2024-062</t>
  </si>
  <si>
    <t>4979/2024</t>
  </si>
  <si>
    <t>SIGGO para Auditoria</t>
  </si>
  <si>
    <t>29/07 a 02/08/2024</t>
  </si>
  <si>
    <t>Fernanda Viana de Souza; Túllio Herbeth</t>
  </si>
  <si>
    <t>2024-063</t>
  </si>
  <si>
    <t>4375/2024</t>
  </si>
  <si>
    <t>Encontro Nacional de Mobilidade Urbana - aberto</t>
  </si>
  <si>
    <t>29, 30 e 31/07/2024</t>
  </si>
  <si>
    <t>2024-064</t>
  </si>
  <si>
    <t>Encontro Nacional de Mobilidade Urbana - fechado</t>
  </si>
  <si>
    <t>31/07 a 01/08/2024</t>
  </si>
  <si>
    <t>2024-065</t>
  </si>
  <si>
    <t>6295/2024</t>
  </si>
  <si>
    <t>Pesquisa em Jurisprudência do TCDF e Legislação do Distrito Federal - T1</t>
  </si>
  <si>
    <t>06 e 08/08/2024</t>
  </si>
  <si>
    <t>Idalécio José; Rodrigo Vilas Boas Licursi</t>
  </si>
  <si>
    <t>2024-066</t>
  </si>
  <si>
    <t>Coffee-Talk PDG - Comunicação e Feedback - nível operacional</t>
  </si>
  <si>
    <t>02/08/2024</t>
  </si>
  <si>
    <t>2024-067</t>
  </si>
  <si>
    <t>Oficina PDG - Performance de Equipe - nível tatico</t>
  </si>
  <si>
    <t>09/08/2024</t>
  </si>
  <si>
    <t>2024-068</t>
  </si>
  <si>
    <t>6994/2024</t>
  </si>
  <si>
    <t>XXIX SEMAT</t>
  </si>
  <si>
    <t>15 e 16/08/2024</t>
  </si>
  <si>
    <t>2024-069</t>
  </si>
  <si>
    <t>7815/2024</t>
  </si>
  <si>
    <t>Oficina temática – SEMAT: Falhas recorrentes em contratações de Obras - Legislação e aspectos práticos</t>
  </si>
  <si>
    <t>19 a 21/08/2024</t>
  </si>
  <si>
    <t>Silvia Lima Damasceno Carvalho; Marcelo Rebelo</t>
  </si>
  <si>
    <t>2024-070</t>
  </si>
  <si>
    <t>6546/2024</t>
  </si>
  <si>
    <t>Segurança Jurídica e desafios na tomada de decisão no setor público</t>
  </si>
  <si>
    <t>20, 22, 26, 28 e 30/08/2024</t>
  </si>
  <si>
    <t>Danilo; Gabriel Heller</t>
  </si>
  <si>
    <t>2024-071</t>
  </si>
  <si>
    <t>8142/2024</t>
  </si>
  <si>
    <t>Oficina temática - SEMAT: Concursos públicos e registro de admissões</t>
  </si>
  <si>
    <t>20/08/2024</t>
  </si>
  <si>
    <t>Carlos Antônio</t>
  </si>
  <si>
    <t>2024-072</t>
  </si>
  <si>
    <t>9914/2024</t>
  </si>
  <si>
    <t>Treinamento SRH</t>
  </si>
  <si>
    <t>20 e 21/08/2024</t>
  </si>
  <si>
    <t>João Guilherme Lima Candido; Marcelo Luiz Garcia Salles</t>
  </si>
  <si>
    <t>2024-073</t>
  </si>
  <si>
    <t>8164/2024</t>
  </si>
  <si>
    <t>Oficina temática – SEMAT: Concessões e Fiscalização de Pessoal</t>
  </si>
  <si>
    <t>21/08/2024</t>
  </si>
  <si>
    <t>Mayara e Hugo</t>
  </si>
  <si>
    <t>2024-074</t>
  </si>
  <si>
    <t>7463/2024</t>
  </si>
  <si>
    <t>E-Contas - T1</t>
  </si>
  <si>
    <t>22/08/2024</t>
  </si>
  <si>
    <t>2024-075</t>
  </si>
  <si>
    <t>9305/2024</t>
  </si>
  <si>
    <t>SIGGO para Auditoria - T2</t>
  </si>
  <si>
    <t>26, 28 e 29/08/2024</t>
  </si>
  <si>
    <t>2024-076</t>
  </si>
  <si>
    <t>7736/2024</t>
  </si>
  <si>
    <t>Segundo Ciclo - Conselheiros de Saude - T1</t>
  </si>
  <si>
    <t>26 a 30/08/2024</t>
  </si>
  <si>
    <t>Tarsila Firmino e Adbiel</t>
  </si>
  <si>
    <t>2024-077</t>
  </si>
  <si>
    <t>7444/2024</t>
  </si>
  <si>
    <t>Instrução de Tomada de Contas Especiais</t>
  </si>
  <si>
    <t>02 a 04/09/2024</t>
  </si>
  <si>
    <t>2024-078</t>
  </si>
  <si>
    <t>Curso básico em e-TCDF (T3)</t>
  </si>
  <si>
    <t>02 a 05/09/2024</t>
  </si>
  <si>
    <t>Cássio Murilo</t>
  </si>
  <si>
    <t>2024-079</t>
  </si>
  <si>
    <t>920/2024</t>
  </si>
  <si>
    <t>Ferramentas tecnológicas para o processo de ensino aprendizagem</t>
  </si>
  <si>
    <t>10 a 12/09/2024</t>
  </si>
  <si>
    <t>Fernando de Assis Alves; Vladimir Santos Vitovsky</t>
  </si>
  <si>
    <t>2024-080</t>
  </si>
  <si>
    <t>10, 12, 17 e 19/09/2024</t>
  </si>
  <si>
    <t>2024-081</t>
  </si>
  <si>
    <t>E-Contas - T2</t>
  </si>
  <si>
    <t>12/09/2024</t>
  </si>
  <si>
    <t>2024-082</t>
  </si>
  <si>
    <t>Coffee Talk PDG</t>
  </si>
  <si>
    <t>13/09/2024</t>
  </si>
  <si>
    <t>2024-083</t>
  </si>
  <si>
    <t>16, 18, 20, 23, 25 e 27/09/2024</t>
  </si>
  <si>
    <t>2024-084</t>
  </si>
  <si>
    <t>6654/2024</t>
  </si>
  <si>
    <t>Curso Básico de Power BI - turma 1</t>
  </si>
  <si>
    <t>16 a 20/09/2024</t>
  </si>
  <si>
    <t>2024-085</t>
  </si>
  <si>
    <t>Oficina PDG - Performance de Equipe - nível operacional</t>
  </si>
  <si>
    <t>20/09/2024</t>
  </si>
  <si>
    <t>2024-086</t>
  </si>
  <si>
    <t>Planilhas de Terceirização de Mão de Obra, de acordo com a Lei nº 14.133/2021 - (Turma 3)</t>
  </si>
  <si>
    <t>23 a 27/09/2024</t>
  </si>
  <si>
    <t>2024-087</t>
  </si>
  <si>
    <t>Segundo Ciclo - Conselheiro de Saude - T2</t>
  </si>
  <si>
    <t>2024-088</t>
  </si>
  <si>
    <t>9044/2024</t>
  </si>
  <si>
    <t>O instituto da prescrição no âmbito do TCDF</t>
  </si>
  <si>
    <t>24 e 26/09/2024</t>
  </si>
  <si>
    <t>Marcos Garcia da Silva Pinto</t>
  </si>
  <si>
    <t>2024-089</t>
  </si>
  <si>
    <t>10410/2024</t>
  </si>
  <si>
    <t>Contraditório e Defesa no Processo de Controle Externo.</t>
  </si>
  <si>
    <t>01, 02, 03, 08 e 10/10/2024</t>
  </si>
  <si>
    <t>Gabriel Heller; Luciana Alvim</t>
  </si>
  <si>
    <t>2024-090</t>
  </si>
  <si>
    <t>11896/2024</t>
  </si>
  <si>
    <t>Ambientação - T2</t>
  </si>
  <si>
    <t>04 e 07/10/2024</t>
  </si>
  <si>
    <t>2024-091</t>
  </si>
  <si>
    <t>11097/2024</t>
  </si>
  <si>
    <t>Animação profissional para o Dia da Visita dos Filhos ao Trabalho 2024</t>
  </si>
  <si>
    <t>04/10/2024</t>
  </si>
  <si>
    <t>Daniel da Silva Grisóstomo</t>
  </si>
  <si>
    <t>2024-092</t>
  </si>
  <si>
    <t>10889/2024</t>
  </si>
  <si>
    <t>Mês do Servidor e Semana da Saúde 2024</t>
  </si>
  <si>
    <t>07 a 25/10/2024</t>
  </si>
  <si>
    <t>2024-093</t>
  </si>
  <si>
    <t>10895/2024</t>
  </si>
  <si>
    <t>Palestra "Propósito e sentido de vida"</t>
  </si>
  <si>
    <t>07/10/2024</t>
  </si>
  <si>
    <t>Lúcia Helena Galvão</t>
  </si>
  <si>
    <t>2024-094</t>
  </si>
  <si>
    <t>Pesquisa em Jurisprudência do TCDF e Legislação do Distrito Federal - T2</t>
  </si>
  <si>
    <t>08 e 10/10/2024</t>
  </si>
  <si>
    <t>2024-095</t>
  </si>
  <si>
    <t>Curso básico em e-TCDF (T4)</t>
  </si>
  <si>
    <t>08 a 11/10/2024</t>
  </si>
  <si>
    <t>2024-096</t>
  </si>
  <si>
    <t>11954/2024</t>
  </si>
  <si>
    <t>Palestra “TCDF na sociedade: apresentação de resultados da auditoria em saúde realizada pelo TCDF”</t>
  </si>
  <si>
    <t>08/10/2024</t>
  </si>
  <si>
    <t>Ludmyla Machado</t>
  </si>
  <si>
    <t>2024-097</t>
  </si>
  <si>
    <t>10896/2024</t>
  </si>
  <si>
    <t>Aulão de foto e edição de imagens com celular</t>
  </si>
  <si>
    <t>10/10/2024</t>
  </si>
  <si>
    <t>Zuleika de Souza</t>
  </si>
  <si>
    <t>2024-098</t>
  </si>
  <si>
    <t>Oficina PDG - Gestão para o Futuro - nível tatico</t>
  </si>
  <si>
    <t>11/10/2024</t>
  </si>
  <si>
    <t>2024-099</t>
  </si>
  <si>
    <t>10686/2024</t>
  </si>
  <si>
    <t>Curso Prático de ETP e TR - T1</t>
  </si>
  <si>
    <t>14 a 17/10/2024</t>
  </si>
  <si>
    <t>João Forni</t>
  </si>
  <si>
    <t>2024-100</t>
  </si>
  <si>
    <t>11840/2024</t>
  </si>
  <si>
    <t>Curso “Atendimento humanizado ao público na área da saúde” - T1</t>
  </si>
  <si>
    <t>14, 15, 16 e 18/10/2024</t>
  </si>
  <si>
    <t>2024-101</t>
  </si>
  <si>
    <t>11191/2024</t>
  </si>
  <si>
    <t>Consulta a bases de dados do TCDF usando o SAS - T2</t>
  </si>
  <si>
    <t>14, 16, 18, 22, 24 e 30/10/2024</t>
  </si>
  <si>
    <t>2024-102</t>
  </si>
  <si>
    <t>10897/2024</t>
  </si>
  <si>
    <t>Oficina "Poética Visual"</t>
  </si>
  <si>
    <t>17/10/2024</t>
  </si>
  <si>
    <t>Pedro Sangeon</t>
  </si>
  <si>
    <t>2024-103</t>
  </si>
  <si>
    <t>Coffee-Talk PDG - Performance de Equipe - nível operacional</t>
  </si>
  <si>
    <t>18/10/2024</t>
  </si>
  <si>
    <t>2024-104</t>
  </si>
  <si>
    <t>8683/2024</t>
  </si>
  <si>
    <t>Coordenação de ações educacionais - ementas</t>
  </si>
  <si>
    <t>21/10/2024</t>
  </si>
  <si>
    <t>Marcelo Kessler</t>
  </si>
  <si>
    <t>2024-105</t>
  </si>
  <si>
    <t>1347/2024</t>
  </si>
  <si>
    <t>MEntoria em Liderança, gestão, desenvolvimento e resultado de equipes</t>
  </si>
  <si>
    <t>2024-106</t>
  </si>
  <si>
    <t>10898/2024</t>
  </si>
  <si>
    <t>Palestra “Segurança, saúde, bem-estar e felicidade – o papel da organização e o protagonismo de cada um”</t>
  </si>
  <si>
    <t>Eugênio Mussak</t>
  </si>
  <si>
    <t>2024-107</t>
  </si>
  <si>
    <t>Segundo Ciclo - Conselheiro de Saude - T3</t>
  </si>
  <si>
    <t>21 a 25/10/2024</t>
  </si>
  <si>
    <t>2024-108</t>
  </si>
  <si>
    <t>10901/2024</t>
  </si>
  <si>
    <t>Roda de Conversa “Neurociências e Sono: Estratégias para Recuperar o Bem-Estar e a Qualidade de Vida”</t>
  </si>
  <si>
    <t>23/10/2024</t>
  </si>
  <si>
    <t>Carolina Prado</t>
  </si>
  <si>
    <t>2024-109</t>
  </si>
  <si>
    <t>10547/2024</t>
  </si>
  <si>
    <t>Boas práticas em gestão para Administrações Regionais</t>
  </si>
  <si>
    <t>29 a 31/10/2024</t>
  </si>
  <si>
    <t>Elwys Presley dos Reis</t>
  </si>
  <si>
    <t>2024-110</t>
  </si>
  <si>
    <t>6321/2024</t>
  </si>
  <si>
    <t>Oficina de acesso a conteúdos digitais do TCDF - T2</t>
  </si>
  <si>
    <t>29 e 31/10/2024</t>
  </si>
  <si>
    <t>Leandro Silva</t>
  </si>
  <si>
    <t>2024-111</t>
  </si>
  <si>
    <t>Curso Básico de Power BI - turma 2</t>
  </si>
  <si>
    <t>04 a 08/11/2024</t>
  </si>
  <si>
    <t>2024-112</t>
  </si>
  <si>
    <t>10477/2024</t>
  </si>
  <si>
    <t>Conselheiros de Cultura</t>
  </si>
  <si>
    <t>04, 05, 11 e 12/11/2024</t>
  </si>
  <si>
    <t>Chris Ramirez</t>
  </si>
  <si>
    <t>2024-113</t>
  </si>
  <si>
    <t>10118/2024</t>
  </si>
  <si>
    <t>Elaboração de Cartilha sobre Inteligência Artificial no âmbito do Tribunal.</t>
  </si>
  <si>
    <t>07/11/2024</t>
  </si>
  <si>
    <t>2024-114</t>
  </si>
  <si>
    <t>Coffee-Talk PDG - Gestão para o Futuro - nível tatico</t>
  </si>
  <si>
    <t>08/11/2024</t>
  </si>
  <si>
    <t>Sílvia Regina e Leandro Silva</t>
  </si>
  <si>
    <t>2024-115</t>
  </si>
  <si>
    <t>11240/2024</t>
  </si>
  <si>
    <t>Curso "Erros comuns em Contratos de Obras e como evitá-los"</t>
  </si>
  <si>
    <t>11 a 13/11/2024</t>
  </si>
  <si>
    <t>Silvia e Wibys</t>
  </si>
  <si>
    <t>2024-116</t>
  </si>
  <si>
    <t>10697/2024</t>
  </si>
  <si>
    <t>Contratação de TIC</t>
  </si>
  <si>
    <t>18, 19 e 21/11/2024</t>
  </si>
  <si>
    <t>2024-117</t>
  </si>
  <si>
    <t>12138/2024</t>
  </si>
  <si>
    <t>Curso "Teoria e prática de elaboração de ementas jurisprudenciais" - T2</t>
  </si>
  <si>
    <t>18, 19, 21 e 22/11/2024</t>
  </si>
  <si>
    <t>2024-118</t>
  </si>
  <si>
    <t>10874/2024</t>
  </si>
  <si>
    <t>Matriz de Responsabilização - IGES</t>
  </si>
  <si>
    <t>19, 21, 26 e 28/11/2024</t>
  </si>
  <si>
    <t>2024-119</t>
  </si>
  <si>
    <t>10049/2024</t>
  </si>
  <si>
    <t>Cartilha Suprimento de Fundos</t>
  </si>
  <si>
    <t>21/11/2024</t>
  </si>
  <si>
    <t>2024-120</t>
  </si>
  <si>
    <t>Cartilha de Uso de Inteligência Artifical Generativa no TCDF</t>
  </si>
  <si>
    <t>Gustavo Henrique</t>
  </si>
  <si>
    <t>2024-121</t>
  </si>
  <si>
    <t>Oficina PDG - Gestão para o Futuro - nível operacional</t>
  </si>
  <si>
    <t>22/11/2024</t>
  </si>
  <si>
    <t>2024-122</t>
  </si>
  <si>
    <t>Curso Prático de ETP e TR - T2</t>
  </si>
  <si>
    <t>25 a 28/11/2024</t>
  </si>
  <si>
    <t>João Paulo Forni</t>
  </si>
  <si>
    <t>2024-123</t>
  </si>
  <si>
    <t>Curso “Atendimento humanizado ao público na área da saúde” - T2</t>
  </si>
  <si>
    <t>2024-124</t>
  </si>
  <si>
    <t>Lançamento de livros</t>
  </si>
  <si>
    <t>Tarsila Firmino Ely; Abdiel Andrade</t>
  </si>
  <si>
    <t>2024-125</t>
  </si>
  <si>
    <t>11946/2024</t>
  </si>
  <si>
    <t>Oficina de Boas práticas administrativas para Gabinetes e Secretariado.</t>
  </si>
  <si>
    <t>26 e 28/11/2024</t>
  </si>
  <si>
    <t>Hadijaline Itapá</t>
  </si>
  <si>
    <t>2024-126</t>
  </si>
  <si>
    <t>11703/2024</t>
  </si>
  <si>
    <t>Auditoria e Orçamentação de Obras Públicas com o uso do Sinapi</t>
  </si>
  <si>
    <t>26/11 a 03/12/2024</t>
  </si>
  <si>
    <t>2024-127</t>
  </si>
  <si>
    <t>11199/2024</t>
  </si>
  <si>
    <t>Maratona temática - Governança em Saúde</t>
  </si>
  <si>
    <t>28 e 29/11/2024</t>
  </si>
  <si>
    <t>2024-128</t>
  </si>
  <si>
    <t>Ciclo de Capacitação para gestores de Contrato – SES/IGESDF T2</t>
  </si>
  <si>
    <t>02, 03 e 04/12/2024</t>
  </si>
  <si>
    <t>2024-129</t>
  </si>
  <si>
    <t>12532/2024</t>
  </si>
  <si>
    <t>Palestra Escon 10 anos</t>
  </si>
  <si>
    <t>05/12/2024</t>
  </si>
  <si>
    <t>Gustavo Ziller</t>
  </si>
  <si>
    <t>2024-130</t>
  </si>
  <si>
    <t>Coffee-Talk PDG - Gestão para o Futuro - nível operacional</t>
  </si>
  <si>
    <t>06/12/2024</t>
  </si>
  <si>
    <t>2024-131</t>
  </si>
  <si>
    <t>13257/2024</t>
  </si>
  <si>
    <t>O Governo é da Nossa Conta - T2</t>
  </si>
  <si>
    <t>Fernanda Viana de Souza; Luiz Felipe Tenório; Ellen Verri Lopes; Joabe Dutra</t>
  </si>
  <si>
    <t>2024-132</t>
  </si>
  <si>
    <t>Segundo Ciclo - Conselheiro de Saude - T4</t>
  </si>
  <si>
    <t>09, 10, 12 e 13/12/2024</t>
  </si>
  <si>
    <t>2024-133</t>
  </si>
  <si>
    <t>456/2024</t>
  </si>
  <si>
    <t>Alura</t>
  </si>
  <si>
    <t>15/12/2024</t>
  </si>
  <si>
    <t>2025-001</t>
  </si>
  <si>
    <t>14335/2024</t>
  </si>
  <si>
    <t>Planilhas de Terceirização de Mão de Obra - Turma 1</t>
  </si>
  <si>
    <t>27 a 31/01/2025</t>
  </si>
  <si>
    <t>2025-002</t>
  </si>
  <si>
    <t>2954/2025</t>
  </si>
  <si>
    <t>01/02/2025</t>
  </si>
  <si>
    <t>2025-003</t>
  </si>
  <si>
    <t>13993/2024</t>
  </si>
  <si>
    <t>Atendimento humanizado ao público na área da saúde - Turma 1</t>
  </si>
  <si>
    <t>03 a 06/02/2025</t>
  </si>
  <si>
    <t>2025-004</t>
  </si>
  <si>
    <t>350/2025</t>
  </si>
  <si>
    <t>Ambientação para novos servidores</t>
  </si>
  <si>
    <t>03 e 04/02/2025</t>
  </si>
  <si>
    <t>2025-005</t>
  </si>
  <si>
    <t>13778/2024</t>
  </si>
  <si>
    <t>Curso Prático de Siggo para Auditoria</t>
  </si>
  <si>
    <t>03, 04 e 05/02/2025</t>
  </si>
  <si>
    <t>2025-006</t>
  </si>
  <si>
    <t>13850/2024</t>
  </si>
  <si>
    <t>Amostragem de Unidades Monetárias em Auditorias Financeiras</t>
  </si>
  <si>
    <t>03, 05, 07, 10, 12, 14 e 17/02/2025</t>
  </si>
  <si>
    <t>2025-007</t>
  </si>
  <si>
    <t>256/2025</t>
  </si>
  <si>
    <t>e-TCDF para novos servidores</t>
  </si>
  <si>
    <t>06, 07, 12, 13 e 14/02/2025</t>
  </si>
  <si>
    <t>2025-008</t>
  </si>
  <si>
    <t>9074/2024</t>
  </si>
  <si>
    <t>Análise e Avaliação de Políticas Públicas</t>
  </si>
  <si>
    <t>10, 12 e 14/02/2025</t>
  </si>
  <si>
    <t>2025-009</t>
  </si>
  <si>
    <t>13675/2024</t>
  </si>
  <si>
    <t>Contraditório e Defesa no Processo de Controle Externo</t>
  </si>
  <si>
    <t>11, 13, 18, 19 e 20/02/2025</t>
  </si>
  <si>
    <t>2025-010</t>
  </si>
  <si>
    <t>14239/2024</t>
  </si>
  <si>
    <t>CSPO - Certified Scrum Product Owner</t>
  </si>
  <si>
    <t>18 e 19/02/2025</t>
  </si>
  <si>
    <t>2025-011</t>
  </si>
  <si>
    <t>13779/2024</t>
  </si>
  <si>
    <t>“O instituto da prescrição no âmbito do TCDF”</t>
  </si>
  <si>
    <t>18 e 20/02/2025</t>
  </si>
  <si>
    <t>2025-012</t>
  </si>
  <si>
    <t>15317/2024</t>
  </si>
  <si>
    <t>O Governo é da Nossa Conta - T1 2025</t>
  </si>
  <si>
    <t>21/02/2025</t>
  </si>
  <si>
    <t>2025-013</t>
  </si>
  <si>
    <t>14337/2024</t>
  </si>
  <si>
    <t>Elaboração de Estudo Técnico Preliminar e Termo de Referência - Turma 1</t>
  </si>
  <si>
    <t>24 a 28/02/2025</t>
  </si>
  <si>
    <t>2025-014</t>
  </si>
  <si>
    <t>13776/2024</t>
  </si>
  <si>
    <t>Curso Engenharia de Prompt - T1</t>
  </si>
  <si>
    <t>10 e 12/03/2025</t>
  </si>
  <si>
    <t>Eric Hans</t>
  </si>
  <si>
    <t>2025-015</t>
  </si>
  <si>
    <t>318/2025</t>
  </si>
  <si>
    <t>Auditoria Operacional</t>
  </si>
  <si>
    <t>11/03 a 04/04/2025</t>
  </si>
  <si>
    <t>Dagomar Lima</t>
  </si>
  <si>
    <t>2025-016</t>
  </si>
  <si>
    <t>15452/2024</t>
  </si>
  <si>
    <t>Roda de Conversa - Mulheres em Movimento</t>
  </si>
  <si>
    <t>11/03/2025</t>
  </si>
  <si>
    <t>2025-017</t>
  </si>
  <si>
    <t>“O instituto da prescrição no âmbito do TCDF” - T2 (GDF)</t>
  </si>
  <si>
    <t>13 e 14/03/2025</t>
  </si>
  <si>
    <t>2025-018</t>
  </si>
  <si>
    <t>13637/2024</t>
  </si>
  <si>
    <t>Power BI Básico</t>
  </si>
  <si>
    <t>17 a 21/03/2025</t>
  </si>
  <si>
    <t>2025-019</t>
  </si>
  <si>
    <t>13835/2024</t>
  </si>
  <si>
    <t>Curso de Formação para Conselheiros de Saúde do DF - nível iniciante</t>
  </si>
  <si>
    <t>17, 19 e 21/03/2025</t>
  </si>
  <si>
    <t>2025-020</t>
  </si>
  <si>
    <t>Programa Nacional de Transparência Pública - ciclo 2025</t>
  </si>
  <si>
    <t>20 e 21/03/2025</t>
  </si>
  <si>
    <t>Atricon</t>
  </si>
  <si>
    <t>2025-021</t>
  </si>
  <si>
    <t>13934/2024</t>
  </si>
  <si>
    <t>Curso de Formação para Conselheiros de Saúde do DF - nível avançado</t>
  </si>
  <si>
    <t>24, 26 e 28/03/2024</t>
  </si>
  <si>
    <t>2025-022</t>
  </si>
  <si>
    <t>2274/2025</t>
  </si>
  <si>
    <t>Ambientação para novos servidores - T2</t>
  </si>
  <si>
    <t>27 e 28/03/2025</t>
  </si>
  <si>
    <t>2025-023</t>
  </si>
  <si>
    <t>31/03 a 04/04/2025</t>
  </si>
  <si>
    <t>2025-024</t>
  </si>
  <si>
    <t>2424/2025</t>
  </si>
  <si>
    <t>Matriz de responsabilização: teoria e prática</t>
  </si>
  <si>
    <t>01, 04, 08 e 11/04/2025</t>
  </si>
  <si>
    <t>Gabriel Heller; Caio Filipe</t>
  </si>
  <si>
    <t>2025-025</t>
  </si>
  <si>
    <t>1439/2025</t>
  </si>
  <si>
    <t>CSPO - T2</t>
  </si>
  <si>
    <t>01/04/2025 a 01/08/2025</t>
  </si>
  <si>
    <t>Rodrigo de Toledo</t>
  </si>
  <si>
    <t>2025-026</t>
  </si>
  <si>
    <t>1066/2025</t>
  </si>
  <si>
    <t>Maratona Temática: Obras Públicas</t>
  </si>
  <si>
    <t>03 e 04/04/2025</t>
  </si>
  <si>
    <t>2025-027</t>
  </si>
  <si>
    <t>876/2025</t>
  </si>
  <si>
    <t>07 a 10/04/2025</t>
  </si>
  <si>
    <t>2025-028</t>
  </si>
  <si>
    <t>952/2025</t>
  </si>
  <si>
    <t>Gestão de Contratos na Lei 14.133/2021 - T1</t>
  </si>
  <si>
    <t>10, 11, 14 e 15/04/2025</t>
  </si>
  <si>
    <t>2025-029</t>
  </si>
  <si>
    <t>2815/2025</t>
  </si>
  <si>
    <t>Palestra "IA Generativa na prática"</t>
  </si>
  <si>
    <t>10/04/2025</t>
  </si>
  <si>
    <t>Alexandre Aquiles</t>
  </si>
  <si>
    <t>2025-030</t>
  </si>
  <si>
    <t>10935/2025</t>
  </si>
  <si>
    <t>Palestras Gartner - Tendências de Tecnologia</t>
  </si>
  <si>
    <t>04/11/2025</t>
  </si>
  <si>
    <t>Ricardo Machado</t>
  </si>
  <si>
    <t>2025-031</t>
  </si>
  <si>
    <t>Curso Engenharia de Prompt - T2</t>
  </si>
  <si>
    <t>14 e 15/04/2025</t>
  </si>
  <si>
    <t>2025-032</t>
  </si>
  <si>
    <t>Gestão de Contratos na Lei 14.133/2021 - T2</t>
  </si>
  <si>
    <t>22, 28, 29 e 30/04/2025</t>
  </si>
  <si>
    <t>2025-033</t>
  </si>
  <si>
    <t>665/2025</t>
  </si>
  <si>
    <t>Instrução de Tomada de Contas Especial</t>
  </si>
  <si>
    <t>23 a 25/04/2025</t>
  </si>
  <si>
    <t>2025-034</t>
  </si>
  <si>
    <t>3371/2025</t>
  </si>
  <si>
    <t>e-TCDF para novos servidores - T2</t>
  </si>
  <si>
    <t>24, 25, 28, 29 e 30/04/2025</t>
  </si>
  <si>
    <t>2025-035</t>
  </si>
  <si>
    <t>3633/2025</t>
  </si>
  <si>
    <t>Café &amp; Tértulia - Passado, presente e futuro</t>
  </si>
  <si>
    <t>25/04/2025</t>
  </si>
  <si>
    <t>Isac Pamplona; Valéria Cristina; Gabriel Heller; Cinthia Thomazi</t>
  </si>
  <si>
    <t>2025-036</t>
  </si>
  <si>
    <t>4128/2025</t>
  </si>
  <si>
    <t>Sessão Cinema - Aniversário de Brasília: "JK o Reinventor do Brasil"</t>
  </si>
  <si>
    <t>28/04/2025</t>
  </si>
  <si>
    <t>2025-037</t>
  </si>
  <si>
    <t>2109/2025; 2736/2025</t>
  </si>
  <si>
    <t>29/04/2025</t>
  </si>
  <si>
    <t>2025-038</t>
  </si>
  <si>
    <t>4708/2025</t>
  </si>
  <si>
    <t>Mentoria para lideranças do TCDF</t>
  </si>
  <si>
    <t>01/05/2025</t>
  </si>
  <si>
    <t>2025-039</t>
  </si>
  <si>
    <t>ETP e TR - T2</t>
  </si>
  <si>
    <t>05 a 09/05/2025</t>
  </si>
  <si>
    <t>2025-040</t>
  </si>
  <si>
    <t>1503/2025</t>
  </si>
  <si>
    <t>Curso de Formação para Conselheiros de Saúde do DF - nível iniciante - T2</t>
  </si>
  <si>
    <t>12, 14 e 16/05/2025</t>
  </si>
  <si>
    <t>2025-041</t>
  </si>
  <si>
    <t>4157/2025</t>
  </si>
  <si>
    <t>Homenagem ao Dia das Mães</t>
  </si>
  <si>
    <t>20/05/2025</t>
  </si>
  <si>
    <t>Cinthia Thais de Carvalho Luz Thomazi e Tatianne Hatem</t>
  </si>
  <si>
    <t>2025-042</t>
  </si>
  <si>
    <t>4395/2025</t>
  </si>
  <si>
    <t>Tcendo o Futuro - E.C. 04 do Cruzeiro</t>
  </si>
  <si>
    <t>22/05/2025</t>
  </si>
  <si>
    <t>Luiz Felipe Tenório; Cinthia Thais de Carvalho Luz Thomazi; Adriana Cuoco Portugal; Fernanda Viana de Souza; Denise Duarte Guirra Kuhlmann</t>
  </si>
  <si>
    <t>2025-043</t>
  </si>
  <si>
    <t>Tcendo o Futuro - E.C. 06 do Cruzeiro</t>
  </si>
  <si>
    <t>23/05/2025</t>
  </si>
  <si>
    <t>2025-044</t>
  </si>
  <si>
    <t>3403/2025</t>
  </si>
  <si>
    <t>Informática Básica</t>
  </si>
  <si>
    <t>26, 28 e 30/05/2025</t>
  </si>
  <si>
    <t>Bruno Coelho</t>
  </si>
  <si>
    <t>2025-045</t>
  </si>
  <si>
    <t>4184/2025</t>
  </si>
  <si>
    <t>Processo de Contas no TCDF</t>
  </si>
  <si>
    <t>27, 29 e 30/05/2025</t>
  </si>
  <si>
    <t>2025-046</t>
  </si>
  <si>
    <t>2207/2025</t>
  </si>
  <si>
    <t>Liderança com base em evidências</t>
  </si>
  <si>
    <t>28/05 a 03/06/2025</t>
  </si>
  <si>
    <t>2025-047</t>
  </si>
  <si>
    <t>Análise e Avaliação de Políticas Públicas - mentoria</t>
  </si>
  <si>
    <t>01/06/2025</t>
  </si>
  <si>
    <t>2025-048</t>
  </si>
  <si>
    <t>1507/2025</t>
  </si>
  <si>
    <t>Curso de Formação para Conselheiros de Saúde do DF - nível avançado- T2</t>
  </si>
  <si>
    <t>02, 04 e 06/06/2025</t>
  </si>
  <si>
    <t>2025-049</t>
  </si>
  <si>
    <t>3406/2025</t>
  </si>
  <si>
    <t>Auditoria de custos de obras rodoviárias e vias urbanas, com o Sicro</t>
  </si>
  <si>
    <t>02, 03, 05, 09, 10 e 12/06/2025</t>
  </si>
  <si>
    <t>2025-050</t>
  </si>
  <si>
    <t>1563/2025</t>
  </si>
  <si>
    <t>04/06/2025</t>
  </si>
  <si>
    <t>2025-051</t>
  </si>
  <si>
    <t>e-TCDF para novos servidores - T3</t>
  </si>
  <si>
    <t>09, 10, 11, 16 e 17/06/2025</t>
  </si>
  <si>
    <t>2025-052</t>
  </si>
  <si>
    <t>5158/2025</t>
  </si>
  <si>
    <t>Ambientação de novos estagiários - T1</t>
  </si>
  <si>
    <t>09 e 10/06/2025</t>
  </si>
  <si>
    <t>Denise Duarte Guirra Kuhlmann; Luiz Felipe Tenório; Norton Ferraz</t>
  </si>
  <si>
    <t>2025-053</t>
  </si>
  <si>
    <t>4234/2025</t>
  </si>
  <si>
    <t>Power Automate aplicado ao Controle Externo</t>
  </si>
  <si>
    <t>12 e 13/06/2025</t>
  </si>
  <si>
    <t>2025-054</t>
  </si>
  <si>
    <t>4933/2025</t>
  </si>
  <si>
    <t>Controle Externo das parcerias firmadas com base no Marco Regulatório das Organizações da Sociedade Civil (MROSC)</t>
  </si>
  <si>
    <t>16 a 18/06/2025</t>
  </si>
  <si>
    <t>Antonio França</t>
  </si>
  <si>
    <t>2025-055</t>
  </si>
  <si>
    <t>5503/2025</t>
  </si>
  <si>
    <t>Curso de Formação para Conselheiros de Saúde do DF - nível básico - T3</t>
  </si>
  <si>
    <t>23 a 27/06/2025</t>
  </si>
  <si>
    <t>2025-056</t>
  </si>
  <si>
    <t>4936/2025</t>
  </si>
  <si>
    <t>Engenharia de Prompt/Chat TCDF - T1</t>
  </si>
  <si>
    <t>24 e 26/06/2025</t>
  </si>
  <si>
    <t>Gustavo Henrique; Arthur Nogueira</t>
  </si>
  <si>
    <t>2025-057</t>
  </si>
  <si>
    <t>2984/2025</t>
  </si>
  <si>
    <t>Teoria e prática de elaboração de ementas jurisprudenciais</t>
  </si>
  <si>
    <t>24/06 a 03/07/2025</t>
  </si>
  <si>
    <t>Caio Filipe e Marcelo Kessler</t>
  </si>
  <si>
    <t>2025-058</t>
  </si>
  <si>
    <t>6576/2025</t>
  </si>
  <si>
    <t>Sirac - Indícios - T1</t>
  </si>
  <si>
    <t>30/06/2025</t>
  </si>
  <si>
    <t>Gustavo Carvalho; Vilcemar Fernandes Maia Filho</t>
  </si>
  <si>
    <t>2025-059</t>
  </si>
  <si>
    <t>5942/2025</t>
  </si>
  <si>
    <t>TCDF e as Universidades: TCDF e a Fiscalização de Obras e Visita Guiada</t>
  </si>
  <si>
    <t>30/06 a 04/07/2025</t>
  </si>
  <si>
    <t>2025-060</t>
  </si>
  <si>
    <t>2495/2025</t>
  </si>
  <si>
    <t>04/07/2025</t>
  </si>
  <si>
    <t>Ellen Verri Lopes; Joabe Dutra; Luiz Felipe Gondim</t>
  </si>
  <si>
    <t>2025-061</t>
  </si>
  <si>
    <t>672/2025</t>
  </si>
  <si>
    <t>Contratação de Soluções em TIC</t>
  </si>
  <si>
    <t>04/07 a 04/09/2025</t>
  </si>
  <si>
    <t>2025-062</t>
  </si>
  <si>
    <t>4838/2025</t>
  </si>
  <si>
    <t>Treinamento para Organizações da Sociedade Civil – MROSC</t>
  </si>
  <si>
    <t>07, 09 e 11/07/2025</t>
  </si>
  <si>
    <t>Indio Artiaga do Brasil Rabelo; Leonardo de Melo</t>
  </si>
  <si>
    <t>2025-063</t>
  </si>
  <si>
    <t>8812/2025</t>
  </si>
  <si>
    <t>Contratações Integradas aplicada ao Controle Externo</t>
  </si>
  <si>
    <t>10/07 a 15/10/2025</t>
  </si>
  <si>
    <t>Rafael Martins</t>
  </si>
  <si>
    <t>2025-064</t>
  </si>
  <si>
    <t>5462/2025</t>
  </si>
  <si>
    <t>Falhas recorrentes em contratações de Obras - Legislação e aspectos práticos - T1</t>
  </si>
  <si>
    <t>21, 22, 28 e 29/07/2025</t>
  </si>
  <si>
    <t>Silvia Lima Damasceno Carvalho; Wibys Pereira</t>
  </si>
  <si>
    <t>2025-065</t>
  </si>
  <si>
    <t>Engenharia de Prompt/Chat TCDF - T2</t>
  </si>
  <si>
    <t>22 e 24/07/2025</t>
  </si>
  <si>
    <t>2025-066</t>
  </si>
  <si>
    <t>6623/2025</t>
  </si>
  <si>
    <t>Prescrição no âmbito do TCDF - T2</t>
  </si>
  <si>
    <t>31/07 a 01/08/2025</t>
  </si>
  <si>
    <t>2025-067</t>
  </si>
  <si>
    <t>6725/2025</t>
  </si>
  <si>
    <t>Atualização em Avaliação de Riscos para Auditorias Financeiras</t>
  </si>
  <si>
    <t>04, 06, 08, 11, 13, 15, 18, 20, 22, 25, 27 e 29/08/2025</t>
  </si>
  <si>
    <t>2025-068</t>
  </si>
  <si>
    <t>4501/2025</t>
  </si>
  <si>
    <t>Estruturação e Governança de Ecossistema de Inovação Pública</t>
  </si>
  <si>
    <t>05/08 a 04/09/2025</t>
  </si>
  <si>
    <t>Antonio Isidro</t>
  </si>
  <si>
    <t>2025-069</t>
  </si>
  <si>
    <t>Sirac - Indícios - T2</t>
  </si>
  <si>
    <t>07/08/2025</t>
  </si>
  <si>
    <t>Vilcemar Fernandes Maia Filho</t>
  </si>
  <si>
    <t>2025-070</t>
  </si>
  <si>
    <t>9203/2025</t>
  </si>
  <si>
    <t>Café &amp; Tertúlia – Encerramento da Semana de Saúde</t>
  </si>
  <si>
    <t>08/08/2025</t>
  </si>
  <si>
    <t>Valéria Feitoza; Gabriel Heller; Cinthia Thais de Carvalho Luz Thomazi; Isac Mendes Caixeta de Pamplona Araújo</t>
  </si>
  <si>
    <t>2025-071</t>
  </si>
  <si>
    <t>Café &amp; Tértulia - Versão Neuroquímica</t>
  </si>
  <si>
    <t>Gabriel Heller; Valéria Feitoza; Cinthia Thais de Carvalho Luz Thomazi; Isac Mendes Caixeta de Pamplona Araújo</t>
  </si>
  <si>
    <t>2025-072</t>
  </si>
  <si>
    <t>5463/2025</t>
  </si>
  <si>
    <t>Oratória - T1</t>
  </si>
  <si>
    <t>11 a 15/08/2025</t>
  </si>
  <si>
    <t>2025-073</t>
  </si>
  <si>
    <t>5671/2025</t>
  </si>
  <si>
    <t>Tutela de urgência no TCDF</t>
  </si>
  <si>
    <t>12, 13 e 15/08/2025</t>
  </si>
  <si>
    <t>Gabriel Heller; Marcelo Kessler</t>
  </si>
  <si>
    <t>2025-074</t>
  </si>
  <si>
    <t>Palestra “TCDF na sociedade: apresentação de resultados da auditoria em saúde realizada pelo TCDF” - T2</t>
  </si>
  <si>
    <t>12/08/2025</t>
  </si>
  <si>
    <t>2025-075</t>
  </si>
  <si>
    <t>8295/2025</t>
  </si>
  <si>
    <t>Curso de Reanimação Avançada</t>
  </si>
  <si>
    <t>16 e 17/08/2025</t>
  </si>
  <si>
    <t>Academia Simulamed</t>
  </si>
  <si>
    <t>2025-076</t>
  </si>
  <si>
    <t>8582/2025</t>
  </si>
  <si>
    <t>Dia do Estagiário no TCDF</t>
  </si>
  <si>
    <t>18/08/2025</t>
  </si>
  <si>
    <t>Everton Lima</t>
  </si>
  <si>
    <t>2025-077</t>
  </si>
  <si>
    <t>Homenagem ao Dia dos Estagiários</t>
  </si>
  <si>
    <t>Luiz Felipe Tenório; Fernanda Viana de Souza; Diogo dos Santos; Everton Lima</t>
  </si>
  <si>
    <t>2025-078</t>
  </si>
  <si>
    <t>7804/2025</t>
  </si>
  <si>
    <t>XXX SEMAT</t>
  </si>
  <si>
    <t>21 e 22/08/2025</t>
  </si>
  <si>
    <t>2025-079</t>
  </si>
  <si>
    <t>8080/2025</t>
  </si>
  <si>
    <t>Oficina Temática - SEMAT: Falhas recorrentes em Contratações de TI.</t>
  </si>
  <si>
    <t>25 e 26/08/2025</t>
  </si>
  <si>
    <t>2025-080</t>
  </si>
  <si>
    <t>Oficina SEMAT - Falhas recorrentes em contratações de Obras - Legislação e aspectos práticos</t>
  </si>
  <si>
    <t>25/08 a 05/09/2025</t>
  </si>
  <si>
    <t>2025-081</t>
  </si>
  <si>
    <t>8152/2025</t>
  </si>
  <si>
    <t>Oficina Semat - Sirac Concessões e Fiscalização de Pessoal</t>
  </si>
  <si>
    <t>27/08/2025</t>
  </si>
  <si>
    <t>Hugo Póvoa; Mayara Lima</t>
  </si>
  <si>
    <t>2025-082</t>
  </si>
  <si>
    <t>9520/2025</t>
  </si>
  <si>
    <t>Oficina temática SEMAT: Uso do modelo de 5 dimensões para a formulação de políticas públicas.</t>
  </si>
  <si>
    <t>28/08/2025</t>
  </si>
  <si>
    <t>Cinthia Thais de Carvalho Luz Thomazi; Daniel Oliveira</t>
  </si>
  <si>
    <t>2025-083</t>
  </si>
  <si>
    <t>8157/2025</t>
  </si>
  <si>
    <t>Oficina Semat - Sirac Admissões</t>
  </si>
  <si>
    <t>2025-084</t>
  </si>
  <si>
    <t>4570/2025</t>
  </si>
  <si>
    <t>Boas Práticas em Gestão para Administrações Regionais</t>
  </si>
  <si>
    <t>02 a 04/09/2025</t>
  </si>
  <si>
    <t>2025-085</t>
  </si>
  <si>
    <t>8748/2025</t>
  </si>
  <si>
    <t>Linguagem Simples aplicada ao TCDF</t>
  </si>
  <si>
    <t>05/09/2025</t>
  </si>
  <si>
    <t>Polyana Mota Resende Brant; Kelly Cristina Domingos</t>
  </si>
  <si>
    <t>2025-086</t>
  </si>
  <si>
    <t>Ambientação de novos estagiários - T2</t>
  </si>
  <si>
    <t>08 e 09/09/2025</t>
  </si>
  <si>
    <t>2025-087</t>
  </si>
  <si>
    <t>8153/2025</t>
  </si>
  <si>
    <t>Chora PPT</t>
  </si>
  <si>
    <t>10 e 11/09/2025</t>
  </si>
  <si>
    <t>Perestroika</t>
  </si>
  <si>
    <t>2025-088</t>
  </si>
  <si>
    <t>Tcendo o Futuro - E.C. 114 Sul e E.C. 106 Norte</t>
  </si>
  <si>
    <t>11/09/2025</t>
  </si>
  <si>
    <t>2025-089</t>
  </si>
  <si>
    <t>O Governo é da Nossa Conta - T3</t>
  </si>
  <si>
    <t>12/09/2025</t>
  </si>
  <si>
    <t>2025-090</t>
  </si>
  <si>
    <t>Tcendo o Futuro - E.C. 708 Norte e E.C. 113 Norte</t>
  </si>
  <si>
    <t>2025-091</t>
  </si>
  <si>
    <t>9325/2025</t>
  </si>
  <si>
    <t>Sessão de Cinema - Aniversário TCDF "JK o Reinventor do Brasil"</t>
  </si>
  <si>
    <t>16/09/2025</t>
  </si>
  <si>
    <t>2025-092</t>
  </si>
  <si>
    <t>10578/2025</t>
  </si>
  <si>
    <t>Curso “Inteligência em Fontes Abertas (OSINT) para Auditores de Controle Externo”</t>
  </si>
  <si>
    <t>22 a 26/09/2025</t>
  </si>
  <si>
    <t>27,5</t>
  </si>
  <si>
    <t>Willian Wistuba</t>
  </si>
  <si>
    <t>2025-093</t>
  </si>
  <si>
    <t>5489/2025</t>
  </si>
  <si>
    <t>Principais Falhas em Processos Licitatórios</t>
  </si>
  <si>
    <t>24/09 a 01/10/2025</t>
  </si>
  <si>
    <t>Henrique Luciano</t>
  </si>
  <si>
    <t>2025-094</t>
  </si>
  <si>
    <t>6899/2025</t>
  </si>
  <si>
    <t>Maratona Temática “O Olhar dos Tribunais de Contas sobre Políticas Públicas"</t>
  </si>
  <si>
    <t>25 e 26/09/2025</t>
  </si>
  <si>
    <t>2025-095</t>
  </si>
  <si>
    <t>Prescrição no âmbito do TCDF - T3</t>
  </si>
  <si>
    <t>02 e 03/10/2025</t>
  </si>
  <si>
    <t>2025-096</t>
  </si>
  <si>
    <t>12946/2025</t>
  </si>
  <si>
    <t>Avaliação da qualidade instrucional, "ANT na prática" e "Gestão Estratégica de Treinamento &amp; Desenvolvimento (T&amp;D)"</t>
  </si>
  <si>
    <t>02 a 17/10/2025</t>
  </si>
  <si>
    <t>Paulo José Góes Daltro; Karine Caroline; Denise Duarte Guirra Kuhlmann</t>
  </si>
  <si>
    <t>2025-097</t>
  </si>
  <si>
    <t>10519/2025</t>
  </si>
  <si>
    <t>Curso “MROSC para servidores públicas distritais”</t>
  </si>
  <si>
    <t>02, 03e 06/10/2025</t>
  </si>
  <si>
    <t>2025-098</t>
  </si>
  <si>
    <t>11320/2025</t>
  </si>
  <si>
    <t>Visita dos Filhos ao TCDF</t>
  </si>
  <si>
    <t>03/10/2025</t>
  </si>
  <si>
    <t>2025-099</t>
  </si>
  <si>
    <t>Palestras Gartner - Segurança da Informação e privacidade</t>
  </si>
  <si>
    <t>06/10/2025</t>
  </si>
  <si>
    <t>2025-100</t>
  </si>
  <si>
    <t>10959/2025</t>
  </si>
  <si>
    <t>Curso para gestores e fiscais de contrato – SES/DF</t>
  </si>
  <si>
    <t>08 a 10/10/2025</t>
  </si>
  <si>
    <t>Adriana Salles; Luciana Alvim</t>
  </si>
  <si>
    <t>2025-101</t>
  </si>
  <si>
    <t>9139/2025</t>
  </si>
  <si>
    <t>Curso de Formação para Conselheiros de Saúde do DF - nível avançado- T3</t>
  </si>
  <si>
    <t>14 a 16/10/2025</t>
  </si>
  <si>
    <t>Valéria Feitoza; Cinthia Thais de Carvalho Luz Thomazi; Isac Mendes Caixeta de Pamplona Araújo</t>
  </si>
  <si>
    <t>2025-102</t>
  </si>
  <si>
    <t>10932/2025</t>
  </si>
  <si>
    <t>Curso "Gestão de Informações e Proteção do Conhecimento no Controle Externo"</t>
  </si>
  <si>
    <t>20 a 24/10/2025</t>
  </si>
  <si>
    <t>2025-103</t>
  </si>
  <si>
    <t>10621/2025</t>
  </si>
  <si>
    <t>Maratona Temática: Segurança Pública</t>
  </si>
  <si>
    <t>20 e 21/10/2025</t>
  </si>
  <si>
    <t>2025-104</t>
  </si>
  <si>
    <t>12113/2025</t>
  </si>
  <si>
    <t>Lançamento de Livros</t>
  </si>
  <si>
    <t>23/10/2025</t>
  </si>
  <si>
    <t>2025-105</t>
  </si>
  <si>
    <t>13122/2025</t>
  </si>
  <si>
    <t>24/10 a 28/11/2025</t>
  </si>
  <si>
    <t>Adriana Portugal</t>
  </si>
  <si>
    <t>2025-106</t>
  </si>
  <si>
    <t>12335/2025</t>
  </si>
  <si>
    <t>03 a 07/11/2025</t>
  </si>
  <si>
    <t>2025-107</t>
  </si>
  <si>
    <t>Tcendo o Futuro</t>
  </si>
  <si>
    <t>06/11/2025</t>
  </si>
  <si>
    <t>2025-108</t>
  </si>
  <si>
    <t>4523/2025</t>
  </si>
  <si>
    <t>Cinthia Thais de Carvalho Luz Thomazi; Adriana Cuoco Portugal; Fernanda Viana de Souza; Denise Duarte Guirra Kuhlmann; Priscila Nolasco</t>
  </si>
  <si>
    <t>2025-109</t>
  </si>
  <si>
    <t>12086/2025</t>
  </si>
  <si>
    <t>Café e Tertúlia - Mês do Servidor (Show de Talentos)</t>
  </si>
  <si>
    <t>07/11/2025</t>
  </si>
  <si>
    <t>2025-110</t>
  </si>
  <si>
    <t>Oratória - T2</t>
  </si>
  <si>
    <t>10 a 14/11/2025</t>
  </si>
  <si>
    <t>2025-111</t>
  </si>
  <si>
    <t>9102/2025</t>
  </si>
  <si>
    <t>11, 12, 13, 18 e 19/11/2025</t>
  </si>
  <si>
    <t>2025-112</t>
  </si>
  <si>
    <t>12830/2025</t>
  </si>
  <si>
    <t>Curso “Contratação Integrada na Prática”</t>
  </si>
  <si>
    <t>17 a 19/11/2025</t>
  </si>
  <si>
    <t>2025-113</t>
  </si>
  <si>
    <t>12954/2025</t>
  </si>
  <si>
    <t>Homenagem ao Dia da Consciência Negra</t>
  </si>
  <si>
    <t>17 e 18/11/2025</t>
  </si>
  <si>
    <t>Nelson Inocêncio; Maria Luiza Júnior; Fernanda Cordeiro; Fabrício Rodrigues; Denise Duarte Guirra Kuhlmann</t>
  </si>
  <si>
    <t>2025-114</t>
  </si>
  <si>
    <t>9077/2025</t>
  </si>
  <si>
    <t>Vieses e Armadilhas Mentais: como tomar melhores decisões na Administração Pública</t>
  </si>
  <si>
    <t>24 a 26/11/2025</t>
  </si>
  <si>
    <t>Gabriel Heller; Reinaldo Alencar</t>
  </si>
  <si>
    <t>2025-115</t>
  </si>
  <si>
    <t>6624/2025</t>
  </si>
  <si>
    <t>Curso “Fundamentos de Auditoria Ágil”</t>
  </si>
  <si>
    <t>24, 26 e 28/11/2025</t>
  </si>
  <si>
    <t>Ricardo Akl</t>
  </si>
  <si>
    <t>2025-116</t>
  </si>
  <si>
    <t>11833/2025</t>
  </si>
  <si>
    <t>Curso para Conselheiros Tutelares do DF</t>
  </si>
  <si>
    <t>2025-117</t>
  </si>
  <si>
    <t>Em andamento</t>
  </si>
  <si>
    <t>6011/2025</t>
  </si>
  <si>
    <t>01/12/2025</t>
  </si>
  <si>
    <t>2025-118</t>
  </si>
  <si>
    <t>13654/2025</t>
  </si>
  <si>
    <t>Curso básico de e-TCDF</t>
  </si>
  <si>
    <t>03, 05, 08 e 10/12/2025</t>
  </si>
  <si>
    <t>2025-119</t>
  </si>
  <si>
    <t>14610/2024</t>
  </si>
  <si>
    <t>Curso e Mentoria em Oratória - Balbio</t>
  </si>
  <si>
    <t>15/12/2025</t>
  </si>
  <si>
    <t>2025-120</t>
  </si>
  <si>
    <t>15651/2024</t>
  </si>
  <si>
    <t>Palestra “TCDF e a Fiscalização de Obras” - Universidade e TCDF</t>
  </si>
  <si>
    <t>20/01/2025</t>
  </si>
  <si>
    <t>14319/2025</t>
  </si>
  <si>
    <t>20 e 22/01/2026</t>
  </si>
  <si>
    <t>16298/2025</t>
  </si>
  <si>
    <t>Tcendo o Futuro - Edição Especial Filhos</t>
  </si>
  <si>
    <t>23/01/2026</t>
  </si>
  <si>
    <t>4926/2025</t>
  </si>
  <si>
    <t>Estruturação de Inovações Disruptivas no TCDF</t>
  </si>
  <si>
    <t>26/01 a 10/02/2026</t>
  </si>
  <si>
    <t>Caio Castelliano</t>
  </si>
  <si>
    <t>15827/2025</t>
  </si>
  <si>
    <t>Gestão e Fiscalização de Contratos de Equipamentos Médico Hospitalares e Serviços de Manutenção</t>
  </si>
  <si>
    <t>Treinamento em Saúde Pública</t>
  </si>
  <si>
    <t>25 a 27/02/2026</t>
  </si>
  <si>
    <t>Tarsila Firmino Ely; Luciana Alvim</t>
  </si>
  <si>
    <t>529/2026</t>
  </si>
  <si>
    <t>FIT1: Treinamento e Desenvolvimento (T&amp;D)</t>
  </si>
  <si>
    <t>Escola de Instrutores</t>
  </si>
  <si>
    <t>25/02/2026 a 02/03/2026</t>
  </si>
  <si>
    <t>Paulo José Góes Daltro</t>
  </si>
  <si>
    <t>15352/2025</t>
  </si>
  <si>
    <t>Curso para gestores e fiscais de contratos de serviços assistenciais complementares – SES/DF</t>
  </si>
  <si>
    <t xml:space="preserve">04 a 06/03/2026  </t>
  </si>
  <si>
    <t>Adriana Magalhães; Luciana Alvim</t>
  </si>
  <si>
    <t>10/2026</t>
  </si>
  <si>
    <t>Planilhas de Terceirização de Mão de Obra, de acordo com a Lei nº 14.133/2021 - T1</t>
  </si>
  <si>
    <t>09 a 13/03/2026</t>
  </si>
  <si>
    <t>354/2026</t>
  </si>
  <si>
    <t>Curso de Promoção Funcional 2026/2027</t>
  </si>
  <si>
    <t>16, 17, 19 e 20/03/2026</t>
  </si>
  <si>
    <t>Rômulo Miranda Alvim; Cinthia Thais de Carvalho Luz Thomazi</t>
  </si>
  <si>
    <t>15249/2025</t>
  </si>
  <si>
    <t>Introdução à Engenharia de Prompt - t1</t>
  </si>
  <si>
    <t>Inteligência Artificial e Análise de Dados</t>
  </si>
  <si>
    <t>17 e 19/03/2026</t>
  </si>
  <si>
    <t>Arthur Wú</t>
  </si>
  <si>
    <t>Planilhas de Terceirização de Mão de Obra, de acordo com a Lei nº 14.133/2021 - T2</t>
  </si>
  <si>
    <t>23 a 27/03/2026</t>
  </si>
  <si>
    <t>2111/2026</t>
  </si>
  <si>
    <t>Dia do Ouvidor</t>
  </si>
  <si>
    <t>24/03/2026</t>
  </si>
  <si>
    <t>49/2026</t>
  </si>
  <si>
    <t>Maratona Temática: Transparência Pública</t>
  </si>
  <si>
    <t>30 a 31/03/2026</t>
  </si>
  <si>
    <t>1984/2026</t>
  </si>
  <si>
    <t>Curso para gestores e fiscais de contratos de serviços assistenciais complementares – SES/DF - T2</t>
  </si>
  <si>
    <t>08 a 10/04/2026</t>
  </si>
  <si>
    <t>3976/2025</t>
  </si>
  <si>
    <t>Curso de Formação para Conselheiros de Cultura</t>
  </si>
  <si>
    <t>Formação de Controladores sociais e cidadãos</t>
  </si>
  <si>
    <t>13 a 16/04/2026</t>
  </si>
  <si>
    <t>Introdução à Engenharia de Prompt - t2</t>
  </si>
  <si>
    <t>15 e 17/04/2026</t>
  </si>
  <si>
    <t>Arthur Wú; Gustavo Takahashi</t>
  </si>
  <si>
    <t>3669/2026</t>
  </si>
  <si>
    <t>Mentoria de introdução à Engenharia de Prompt</t>
  </si>
  <si>
    <t>16/04/2026</t>
  </si>
  <si>
    <t>2511/2026</t>
  </si>
  <si>
    <t>Mostra Fotográfica “Meu Olhar sobre Brasília”</t>
  </si>
  <si>
    <t>20 a 30/04/2026</t>
  </si>
  <si>
    <t>Servidores, colaboradores e estagiários do TCDF</t>
  </si>
  <si>
    <t>1900/2026</t>
  </si>
  <si>
    <t>24/04/2026</t>
  </si>
  <si>
    <t>08/05/2026</t>
  </si>
  <si>
    <t xml:space="preserve">Cancelado </t>
  </si>
  <si>
    <t>3103/2026</t>
  </si>
  <si>
    <t>Escola de Instrutores - Curso "Fundamentos em TD&amp;E"</t>
  </si>
  <si>
    <t>18 a 21/05/2026</t>
  </si>
  <si>
    <t>2151/2026</t>
  </si>
  <si>
    <t>II Fórum de Educação para a Aposentadoria e Longevidade</t>
  </si>
  <si>
    <t>21 e 22/05/2026</t>
  </si>
  <si>
    <t>4141/2026</t>
  </si>
  <si>
    <t>Fiscalizações Baseadas em Risco</t>
  </si>
  <si>
    <t>08 a 12/06/2026</t>
  </si>
  <si>
    <t>Reinaldo Alencar; Rogério Ribeiro</t>
  </si>
  <si>
    <t>3685/2026</t>
  </si>
  <si>
    <t>Curso de formação para gestores e fiscais de Contrato em equipamentos nas unidades hospitalares - T2</t>
  </si>
  <si>
    <t>09 a 11/06/2026</t>
  </si>
  <si>
    <t>Adiado</t>
  </si>
  <si>
    <t>Escola de Instrutores - Design Instrucional</t>
  </si>
  <si>
    <t>16 a 18/06/2026</t>
  </si>
  <si>
    <t>Curso de formação para gestores e fiscais de Contrato em equipamentos nas unidades hospitalares - T3</t>
  </si>
  <si>
    <t>16, 17 e 18/06/2026</t>
  </si>
  <si>
    <t>3502/2026</t>
  </si>
  <si>
    <t>3ª Maratona Temática em Saúde Pública - Boas Práticas</t>
  </si>
  <si>
    <t>22 e 23/06/2026</t>
  </si>
  <si>
    <t>A realizar</t>
  </si>
  <si>
    <t>4346/2026</t>
  </si>
  <si>
    <t>Maratona Temática - Mobilidade Urbana</t>
  </si>
  <si>
    <t>09 e 10/11/2026</t>
  </si>
  <si>
    <t>12314/2025</t>
  </si>
  <si>
    <t>Curso “Gestão Estratégica do Fundo dos Direitos da Criança e do Adolescente do DF: Formação para Conselheiros</t>
  </si>
  <si>
    <t>Karine Tomaz Veiga</t>
  </si>
  <si>
    <t>4369/2026</t>
  </si>
  <si>
    <t>Maratona Temática - Obras Públicas</t>
  </si>
  <si>
    <t>26 e 27/10/2026</t>
  </si>
  <si>
    <t>4392/2026</t>
  </si>
  <si>
    <t>O novo olhar sobre as políticas públicas para o Controle Externo</t>
  </si>
  <si>
    <t>20, 21, 23, 27, 28 e 30/07/2026</t>
  </si>
  <si>
    <t>3726/2026</t>
  </si>
  <si>
    <t>Mentoria em auditoria de saúde</t>
  </si>
  <si>
    <t>01/06/2026 a 31/12/2026</t>
  </si>
  <si>
    <t>Rita de Cássia Leal Fonseca dos Santos</t>
  </si>
  <si>
    <t>4583/2026</t>
  </si>
  <si>
    <t>MROSC para os gestores das Organizações da Sociedade Civil – OSCs</t>
  </si>
  <si>
    <t>01, 02 e 03/07/2026</t>
  </si>
  <si>
    <t>3741/2026</t>
  </si>
  <si>
    <t>Introdução à Engenharia de Prompt - T3</t>
  </si>
  <si>
    <t>12 e 14/05/2026</t>
  </si>
  <si>
    <t>Introdução à Engenharia de Prompt - T4</t>
  </si>
  <si>
    <t>23 e 25/06/2026</t>
  </si>
  <si>
    <t>4728/2026</t>
  </si>
  <si>
    <t>18, 20, 22 e 25/05/2026</t>
  </si>
  <si>
    <t>4663/2026</t>
  </si>
  <si>
    <t>Curso de Ambientação para os novos Auditores de Controle Externo - Área Auditoria</t>
  </si>
  <si>
    <t>28, 29 e 30/04; 04 e 05/05/2026</t>
  </si>
  <si>
    <t>4890/2026</t>
  </si>
  <si>
    <t>Curso de Formação Inicial para Novos Auditores do TCDF</t>
  </si>
  <si>
    <t>06, 07 e 08/05/2026</t>
  </si>
  <si>
    <t>Cinthia Thais de Carvalho Luz Thomazi; Reinaldo Alencar; Rogério Ribeiro; Rômulo Miranda Alvim; Gabriel Heller</t>
  </si>
  <si>
    <t>4652/2026</t>
  </si>
  <si>
    <t>Elaboração da Cartilha "Gestão e Fiscalização de Contratos em Saúde"</t>
  </si>
  <si>
    <t>2026</t>
  </si>
  <si>
    <t>3483/2026</t>
  </si>
  <si>
    <t>Curso de Formação para Conselheiros de Saúde do DF</t>
  </si>
  <si>
    <t>20 a 24/07/2026</t>
  </si>
  <si>
    <t>5897/2026</t>
  </si>
  <si>
    <t>UniTCDF: TCDF e a Fiscalização de Obras</t>
  </si>
  <si>
    <t>25/05/2026 e 29/05/2026</t>
  </si>
  <si>
    <t>4135/2026</t>
  </si>
  <si>
    <t>UniTCDF: Ciências Contábeis</t>
  </si>
  <si>
    <t>06/05/2026</t>
  </si>
  <si>
    <t>Fernanda Viana de Souza; Túllio Herbeth Teixeira Moraes</t>
  </si>
  <si>
    <t>6107/2026</t>
  </si>
  <si>
    <t>Introdução ao processo de controle externo - EAD</t>
  </si>
  <si>
    <t>5416/2026</t>
  </si>
  <si>
    <t>Orçamentação de Obras Públicas com a Nova Reforma Tributária</t>
  </si>
  <si>
    <t>10 e 11/08/2026</t>
  </si>
  <si>
    <t>André Pachioni Baeta</t>
  </si>
  <si>
    <t>6371/2026</t>
  </si>
  <si>
    <t>Painel MROSC</t>
  </si>
  <si>
    <t>20/07/2026</t>
  </si>
  <si>
    <t>6414/2026</t>
  </si>
  <si>
    <t>31º SEMAT</t>
  </si>
  <si>
    <t>6 e 7/08/2026</t>
  </si>
  <si>
    <t>José Roberto Alcuri Júnior; Felipe Ramos Barbosa; Carolina Pereira de Oliveira; Eustáquio Rabelo de Souza; Alinne Patrícia de Andrade Carvalho; Silvia Lima Damasceno Carvalho; Marcelo Santana; Cinthia Thais de Carvalho Luz Thomazi; Igor Queiroz; Guilherme Bride Fernandes</t>
  </si>
  <si>
    <t>6503/2026</t>
  </si>
  <si>
    <t>Curso “Sisaudit na Prática”</t>
  </si>
  <si>
    <t>Davi Assunção Salvador Nery de Castro; David da Silva de Araújo; Hamilton de Jesus Lopes Neto</t>
  </si>
  <si>
    <t>6843/2026</t>
  </si>
  <si>
    <t>Contratações de TIC com base na jurisprudência do TCDF - EAD</t>
  </si>
  <si>
    <t>01/07/2026</t>
  </si>
  <si>
    <t>31/12/2026</t>
  </si>
  <si>
    <t>Flávio José Fonseca de Souza; Felipe da Costa Malaquias</t>
  </si>
  <si>
    <t>6761/2026</t>
  </si>
  <si>
    <t>Introdução à Engenharia de Prompt - SEE</t>
  </si>
  <si>
    <t>30/06/2026 e 02/07/2026</t>
  </si>
  <si>
    <t>TCendo o Futuro</t>
  </si>
  <si>
    <t>20/08/2026</t>
  </si>
  <si>
    <t>21/08/2026</t>
  </si>
  <si>
    <t>24/09/2026</t>
  </si>
  <si>
    <t>25/09/2026</t>
  </si>
  <si>
    <t>7377/2026</t>
  </si>
  <si>
    <t xml:space="preserve">Alura </t>
  </si>
  <si>
    <t>7828/2026</t>
  </si>
  <si>
    <t>Oficina Temática – SEMAT: Falhas recorrentes em contratações de TI</t>
  </si>
  <si>
    <t>Felipe da Costa Malaquias</t>
  </si>
  <si>
    <t>08/10/2026</t>
  </si>
  <si>
    <t>09/10/2026</t>
  </si>
  <si>
    <t>ID Ação</t>
  </si>
  <si>
    <t>Status</t>
  </si>
  <si>
    <t>Carga Horária</t>
  </si>
  <si>
    <t>Qtd Instrutores</t>
  </si>
  <si>
    <t>GECC Aula (h)</t>
  </si>
  <si>
    <t>GECC Material (h)</t>
  </si>
  <si>
    <t>Total GECC (h)</t>
  </si>
  <si>
    <t>Ano Filtro:</t>
  </si>
  <si>
    <t>(não usar - overrides movidos para col. X:AA)</t>
  </si>
  <si>
    <t>Tabela de Overrides</t>
  </si>
  <si>
    <t>GECC – Examinador</t>
  </si>
  <si>
    <t>Override Aula (h)</t>
  </si>
  <si>
    <t>Override Material (h)</t>
  </si>
  <si>
    <t>Examinador</t>
  </si>
  <si>
    <t>Horas GECC</t>
  </si>
  <si>
    <t>fAno</t>
  </si>
  <si>
    <t>fID</t>
  </si>
  <si>
    <t>fStatus</t>
  </si>
  <si>
    <t>fCurso</t>
  </si>
  <si>
    <t>fCH</t>
  </si>
  <si>
    <t>fInstr</t>
  </si>
  <si>
    <t>fNInstr</t>
  </si>
  <si>
    <t>fCumSum</t>
  </si>
  <si>
    <t>preCum</t>
  </si>
  <si>
    <t>2026-021</t>
  </si>
  <si>
    <t>2026-024</t>
  </si>
  <si>
    <t>2026-016</t>
  </si>
  <si>
    <t>Marcelo Bálbio Moraes</t>
  </si>
  <si>
    <t>Gustavo Takahashi</t>
  </si>
  <si>
    <t>Mauri Siqueira Montessi</t>
  </si>
  <si>
    <t>2026-005</t>
  </si>
  <si>
    <t>2026-002</t>
  </si>
  <si>
    <t>Denise Duarte Guirra Kuhlmann</t>
  </si>
  <si>
    <t>Priscila Nolasco</t>
  </si>
  <si>
    <t>2026-020</t>
  </si>
  <si>
    <t>2026-018</t>
  </si>
  <si>
    <t>2026-015</t>
  </si>
  <si>
    <t>2026-032</t>
  </si>
  <si>
    <t>Leonardo de Melo</t>
  </si>
  <si>
    <t>2026-033</t>
  </si>
  <si>
    <t>2026-034</t>
  </si>
  <si>
    <t>2026-036</t>
  </si>
  <si>
    <t>2026-037</t>
  </si>
  <si>
    <t>Reinaldo Alencar</t>
  </si>
  <si>
    <t>Total:</t>
  </si>
  <si>
    <t>Rogério Ribeiro</t>
  </si>
  <si>
    <t>2026-038</t>
  </si>
  <si>
    <t>2026-042</t>
  </si>
  <si>
    <t>2026-044</t>
  </si>
  <si>
    <t>2026-047</t>
  </si>
  <si>
    <t>2026-048</t>
  </si>
  <si>
    <t>2026-045</t>
  </si>
  <si>
    <t>José Roberto Alcuri Júnior</t>
  </si>
  <si>
    <t>Felipe Ramos Barbosa</t>
  </si>
  <si>
    <t>Carolina Pereira de Oliveira</t>
  </si>
  <si>
    <t>Eustáquio Rabelo de Souza</t>
  </si>
  <si>
    <t>Alinne Patrícia de Andrade Carvalho</t>
  </si>
  <si>
    <t>Marcelo Santana</t>
  </si>
  <si>
    <t>Igor Queiroz</t>
  </si>
  <si>
    <t>Guilherme Bride Fernandes</t>
  </si>
  <si>
    <t>DASHBOARD DE CURSOS — 2026</t>
  </si>
  <si>
    <t>TOTAL DE CURSOS</t>
  </si>
  <si>
    <t>REALIZADOS</t>
  </si>
  <si>
    <t>A REALIZAR</t>
  </si>
  <si>
    <t>cursos</t>
  </si>
  <si>
    <t>CURSOS REALIZADOS POR PÚBLICO-ALVO</t>
  </si>
  <si>
    <t>PARTICIPANTES POR PÚBLICO (REALIZADOS)</t>
  </si>
  <si>
    <t>Qtd. Cursos</t>
  </si>
  <si>
    <t>Público</t>
  </si>
  <si>
    <t>Qtd. Participantes</t>
  </si>
  <si>
    <t>Servidores (P. Servidores)</t>
  </si>
  <si>
    <t>Jurisdicionados (P. Jurisdicionados)</t>
  </si>
  <si>
    <t>Sociedade (P. Sociedade)</t>
  </si>
  <si>
    <t>TOTAL</t>
  </si>
  <si>
    <t>TOTAL GERAL</t>
  </si>
  <si>
    <t>CURSOS POR PROGRAMA (TODOS OS STATUS)</t>
  </si>
  <si>
    <t>Realizados</t>
  </si>
  <si>
    <t>A Realizar</t>
  </si>
  <si>
    <t>Total</t>
  </si>
  <si>
    <t>% do Total</t>
  </si>
  <si>
    <t>Desenvolvimento de Líderes</t>
  </si>
  <si>
    <t>(Sem Programa)</t>
  </si>
  <si>
    <t xml:space="preserve">ANO - VIGÊNCIA </t>
  </si>
  <si>
    <t>EIXO TEMÁTICO</t>
  </si>
  <si>
    <t xml:space="preserve">Programa </t>
  </si>
  <si>
    <t xml:space="preserve"> Público-Alvo Preferencial</t>
  </si>
  <si>
    <t>Descrição</t>
  </si>
  <si>
    <t>2024/2025</t>
  </si>
  <si>
    <t>Controle Externo</t>
  </si>
  <si>
    <t>Membros e servidores que atuam no Controle Externo</t>
  </si>
  <si>
    <t>Destina-se a oferecer ações de aprendizagem de metodologias necessárias à avaliação de políticas públicas governamentais.</t>
  </si>
  <si>
    <t>Membros e servidores  que atuam no Controle  Externo</t>
  </si>
  <si>
    <t>Destina-se a oferecer ações de aprendizagem de metodologias necessárias à realização de fiscalizações governamentais, alinhadas às Normas Brasileiras de Auditoria do Setor Público.</t>
  </si>
  <si>
    <t>Destina-se a oferecer ações de aprendizagem voltadas às áreas temáticas fiscalizadas, como saúde, pessoal, previdência, assistência social, obras e serviços de engenharia, tecnologia de informação e comunicação, licitações e contratos, parcerias público-privadas, concessões e desestatização, entre outros</t>
  </si>
  <si>
    <t>Servidores Públicos dos órgãos jurisdicionados ao TCDF</t>
  </si>
  <si>
    <t>Destina-se a oferecer ações de aprendizagem para os gestores e servidores públicos dos órgãos jurisdicionados ao TCDF, a fim de promover a correta e eficiente aplicação dos recursos públicos</t>
  </si>
  <si>
    <t>Representantes de entidades de Controle social e Cidadãos</t>
  </si>
  <si>
    <t>Destina-se a oferecer ações de aprendizagem para os cidadãos, para fomentar o exercício do controle social.</t>
  </si>
  <si>
    <t>Organizacional</t>
  </si>
  <si>
    <t>Servidores que possam utilizar análise de dados no desempenho de suas atividades</t>
  </si>
  <si>
    <t>Destina-se a oferecer ações de aprendizagem voltadas à análise e mineração de dados, a fim de identificar informações úteis à tomada de decisão em meio a grandes quantidades de dados.</t>
  </si>
  <si>
    <t>Membros e Servidores do TCDF</t>
  </si>
  <si>
    <t>Destina-se a oferecer ações de aprendizagem para auxiliar na gestão e apoio estratégico do TCDF, assim como promover a inovação na Casa. As ações buscam aprimorar processos como os de planejamento, gestão de pessoas, gestão da informação, gestão de projetos, gestão de processos, gestão administrativa, gestão contratual, relacionamento com o cliente, operacionalização de sistemas, entre outros</t>
  </si>
  <si>
    <t>Programas Transversais</t>
  </si>
  <si>
    <t>Servidores que ocupam função gerencial e potenciais líderes a desenvolver</t>
  </si>
  <si>
    <t>Destina-se a oferecer ações de aprendizagem para os atuais dirigentes do TCDF, considerando as necessidades de cada nível gerencial (estratégico, tático e operacional), àqueles que assumem funções gerenciais e os servidores com potencial de atuação gerencial no TCDF. As ações devem auxiliar os gestores no exercício da função gerencial, aprimorando competências relacionadas à gestão de desempenho, ao desenvolvimento da equipe, gestão da equipe remota e/ou híbrida, orientação estratégica, feedback, entre outros.</t>
  </si>
  <si>
    <t>Destina-se a oferecer ações de aprendizagem para auxiliar no desenvolvimento de competências funcionais dos servidores, tais quais orientação para resultado, ética e relacionamento interpessoal.</t>
  </si>
  <si>
    <t>Destina-se a oferecer ações de aprendizagem para auxiliar na ambientação e promoção de servidores, promovendo a visão sistêmica da sua atuação no âmbito do TCDF</t>
  </si>
  <si>
    <t>Público-alvo</t>
  </si>
  <si>
    <t xml:space="preserve">Previsão </t>
  </si>
  <si>
    <t>Previsto</t>
  </si>
  <si>
    <t>Solicitado</t>
  </si>
  <si>
    <t>2026/2027</t>
  </si>
  <si>
    <t>Destina-se a oferecer ações de aprendizagem  de metodologias necessárias à realização  de fiscalizações governamentais, alinhadas  às Normas Brasileiras de Auditoria do Setor  Público</t>
  </si>
  <si>
    <t>Destina-se a oferecer ações de aprendizagem  voltadas às áreas temáticas fiscalizadas, como  saúde, pessoal, previdência, assistência social,  obras e serviços de engenharia, tecnologia da  informação e comunicação, licitações e contratos, parcerias público-privadas, concessões e desestatização, entre outras</t>
  </si>
  <si>
    <t>Destina-se a oferecer ações de aprendiza_x0002_gem para os gestores e servidores públicos  dos órgãos jurisdicionados ao TCDF, a fim de  promover a correta e eficiente aplicação dos  recursos públicos</t>
  </si>
  <si>
    <t>Membros e servidores  do TCDF, servidores  públicos dos órgãos jurisdicionados ao TCDF  da área da saúde e  cidadãos interessados  na temática de saúde pública</t>
  </si>
  <si>
    <t>Destina-se a oferecer ações de aprendiza_x0002_gem para os atores responsáveis pela saúde  pública distrital e interessados na temática,  com vistas à correta e eficiente aplicação dos  recursos públicos e à melhoria dos resultados  do setor</t>
  </si>
  <si>
    <t>Membros e servidores do TCDF</t>
  </si>
  <si>
    <t xml:space="preserve">Destina-se a oferecer ações de aprendizagem  voltadas ao uso da inteligência artificial e à  análise e mineração de dados, a fim de iden_x0002_tificar informações úteis à tomada de decisão  em meio a grandes quantidades de dados. </t>
  </si>
  <si>
    <t>Corpo técnico e docente  da Escola de Contas  Públicas do TCDF</t>
  </si>
  <si>
    <t xml:space="preserve">Destina-se a oferecer ações de aprendizagem  para o corpo técnico e docente da Escola de  Contas Públicas do TCDF, a fim de aprimorar  a qualidade instrucional e os resultados das ações de treinamento oferecidas internamente.
</t>
  </si>
  <si>
    <t>Transversal</t>
  </si>
  <si>
    <t>Servidores que ocu_x0002_pam função gerencial  e potenciais líderes a desenvolver</t>
  </si>
  <si>
    <t>Destina-se a oferecer ações de aprendizagem  para os atuais dirigentes do TCDF, consideran_x0002_do as necessidades de cada nível gerencial  (estratégico, tático e operacional), àqueles que  assumem funções gerenciais e aos servido_x0002_res com potencial de atuação gerencial no  Tribunal. As ações devem auxiliar os gestores  no exercício da função gerencial, aprimoran_x0002_do competências relacionadas à gestão de  desempenho, ao desenvolvimento da equipe,  à gestão de equipes remotas e/ou híbridas,  à orientação estratégica, ao feedback, entre  outras</t>
  </si>
  <si>
    <t>📊 DASHBOARD — MARATONAS TEMÁTICAS</t>
  </si>
  <si>
    <t>Atualizado automaticamente a partir da aba Ações InCompany</t>
  </si>
  <si>
    <t>Total de Maratonas</t>
  </si>
  <si>
    <t>Total de Participantes</t>
  </si>
  <si>
    <t>Média Participantes</t>
  </si>
  <si>
    <t>#</t>
  </si>
  <si>
    <t>Data Início</t>
  </si>
  <si>
    <t>Tema da Maratona</t>
  </si>
  <si>
    <t>Data</t>
  </si>
  <si>
    <t>Participantes</t>
  </si>
  <si>
    <t>Dashboard GECC 2026 - Horas por Instrutor</t>
  </si>
  <si>
    <t>Consulta de horas GECC por instrutor em 2026</t>
  </si>
  <si>
    <t>GECC Examinador (h)</t>
  </si>
  <si>
    <t>Qtd Ações</t>
  </si>
  <si>
    <t>07 a 09/07/2026</t>
  </si>
  <si>
    <t>Adriana Cuoco Portugal; Cinthia Thais de Carvalho Luz Thomazi; Fernanda Viana de Souza; Luiz Felipe Tenório de Lima Gondim; Priscila Nolasco de Oliveira</t>
  </si>
  <si>
    <t>Adriana Cuoco Portugal; Cinthia Thais de Carvalho Luz Thomazi; Fernanda Viana de Souza;  Luiz Felipe Tenório de Lima Gondim; Priscila Nolasco de Oliveira</t>
  </si>
  <si>
    <t>Cinthia Thais de Carvalho Luz Thomazi; Adriana Cuoco Portugal; Fernanda Viana de Souza; Denise Duarte Guirra Kuhlmann;  Priscila Nolasco de Oliveira</t>
  </si>
  <si>
    <t>Cinthia Thais de Carvalho Luz Thomazi; Adriana Cuoco Portugal; Fernanda Viana de Souza; Denise Duarte Guirra Kuhlmann; Priscila Nolasco de Oliveira</t>
  </si>
  <si>
    <t>Cadastro Mestre de Instrutores</t>
  </si>
  <si>
    <t>Tipo</t>
  </si>
  <si>
    <t>Ativo</t>
  </si>
  <si>
    <t>Abdiel Andrade</t>
  </si>
  <si>
    <t>Adriana Magalhães</t>
  </si>
  <si>
    <t>Adriana Salles</t>
  </si>
  <si>
    <t>Arthur Nogueira</t>
  </si>
  <si>
    <t>Daniel Oliveira</t>
  </si>
  <si>
    <t>Diogo dos Santos</t>
  </si>
  <si>
    <t>Ellen Verri Lopes</t>
  </si>
  <si>
    <t>Fabrício Rodrigues</t>
  </si>
  <si>
    <t>Fernanda Cordeiro</t>
  </si>
  <si>
    <t>Gustavo Carvalho</t>
  </si>
  <si>
    <t>Hugo Póvoa</t>
  </si>
  <si>
    <t>Joabe Dutra</t>
  </si>
  <si>
    <t>Karine Caroline</t>
  </si>
  <si>
    <t>Kelly Cristina Domingos</t>
  </si>
  <si>
    <t>Luiz Felipe Gondim</t>
  </si>
  <si>
    <t>Maria Luiza Júnior</t>
  </si>
  <si>
    <t>Mayara Lima</t>
  </si>
  <si>
    <t>Nelson Inocêncio</t>
  </si>
  <si>
    <t>Norton Ferraz</t>
  </si>
  <si>
    <t>Polyana Mota Resende Brant</t>
  </si>
  <si>
    <t>Priscila Nolasco de Oliveira</t>
  </si>
  <si>
    <t>Tatianne Hatem</t>
  </si>
  <si>
    <t>Túllio Herbeth</t>
  </si>
  <si>
    <t>Valéria Cristina</t>
  </si>
  <si>
    <t>Valéria Feitoza</t>
  </si>
  <si>
    <t>Wibys Pereira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</si>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</sst>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#,##0.0"/>
    <numFmt numFmtId="165" formatCode="_-[$R$-416]\ * #,##0.00_-;\-[$R$-416]\ * #,##0.00_-;_-[$R$-416]\ * &quot;-&quot;??_-;_-@_-"/>
    <numFmt numFmtId="166" formatCode="dd\/mm\/yyyy"/>
    <numFmt numFmtId="167" formatCode="0.0"/>
    <numFmt numFmtId="168" formatCode="0.0%"/>
  </numFmts>
  <fonts count="5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FF"/>
      <name val="Calibri"/>
      <scheme val="minor"/>
    </font>
    <font>
      <b/>
      <sz val="14"/>
      <color theme="1"/>
      <name val="Calibri"/>
      <scheme val="minor"/>
    </font>
    <font>
      <i/>
      <sz val="10"/>
      <color rgb="FF666666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</font>
    <font>
      <b/>
      <sz val="18"/>
      <color rgb="FFFFFFFF"/>
      <name val="Calibri"/>
      <scheme val="minor"/>
    </font>
    <font>
      <sz val="11"/>
      <color rgb="FF1F4E79"/>
      <name val="Calibri"/>
      <scheme val="minor"/>
    </font>
    <font>
      <b/>
      <sz val="36"/>
      <color rgb="FF1F4E79"/>
      <name val="Calibri"/>
      <scheme val="minor"/>
    </font>
    <font>
      <b/>
      <sz val="13"/>
      <color rgb="FFFFFFFF"/>
      <name val="Calibri"/>
      <scheme val="minor"/>
    </font>
    <font>
      <b/>
      <sz val="14"/>
      <color rgb="FF1F4E79"/>
      <name val="Calibri"/>
      <scheme val="minor"/>
    </font>
    <font>
      <b/>
      <sz val="14"/>
      <color rgb="FFFFFFFF"/>
      <name val="Calibri"/>
      <scheme val="minor"/>
    </font>
    <font>
      <b/>
      <sz val="12"/>
      <color rgb="FF1F4E79"/>
      <name val="Calibri"/>
      <scheme val="minor"/>
    </font>
    <font>
      <b/>
      <sz val="12"/>
      <color rgb="FFFFFFFF"/>
      <name val="Calibri"/>
      <scheme val="minor"/>
    </font>
    <font>
      <b/>
      <sz val="12"/>
      <color rgb="FF999999"/>
      <name val="Calibri"/>
      <scheme val="minor"/>
    </font>
    <font>
      <sz val="11"/>
      <color rgb="FF375623"/>
      <name val="Calibri"/>
      <scheme val="minor"/>
    </font>
    <font>
      <b/>
      <sz val="36"/>
      <color rgb="FF375623"/>
      <name val="Calibri"/>
      <scheme val="minor"/>
    </font>
    <font>
      <b/>
      <sz val="36"/>
      <color rgb="FF806000"/>
      <name val="Calibri"/>
      <scheme val="minor"/>
    </font>
    <font>
      <b/>
      <sz val="12"/>
      <color rgb="FFBF8F00"/>
      <name val="Calibri"/>
      <scheme val="minor"/>
    </font>
    <font>
      <sz val="11"/>
      <color rgb="FF999999"/>
      <name val="Calibri"/>
      <scheme val="minor"/>
    </font>
    <font>
      <i/>
      <sz val="11"/>
      <color rgb="FF999999"/>
      <name val="Calibri"/>
      <scheme val="minor"/>
    </font>
    <font>
      <sz val="11"/>
      <color rgb="FF000000"/>
      <name val="Calibri"/>
      <scheme val="minor"/>
    </font>
    <font>
      <b/>
      <sz val="16"/>
      <color rgb="FFFFFFFF"/>
      <name val="Calibri"/>
      <scheme val="minor"/>
    </font>
    <font>
      <i/>
      <sz val="9"/>
      <color rgb="FF808080"/>
      <name val="Calibri"/>
      <scheme val="minor"/>
    </font>
    <font>
      <b/>
      <sz val="10"/>
      <color rgb="FF1F4E79"/>
      <name val="Calibri"/>
      <scheme val="minor"/>
    </font>
    <font>
      <b/>
      <sz val="22"/>
      <color rgb="FF1F4E79"/>
      <name val="Calibri"/>
      <scheme val="minor"/>
    </font>
    <font>
      <b/>
      <sz val="10"/>
      <color rgb="FFFFFFFF"/>
      <name val="Calibri"/>
      <scheme val="minor"/>
    </font>
    <font>
      <sz val="10"/>
      <color rgb="FF808080"/>
      <name val="Calibri"/>
      <scheme val="minor"/>
    </font>
    <font>
      <sz val="10"/>
      <color theme="1"/>
      <name val="Calibri"/>
      <scheme val="minor"/>
    </font>
    <font>
      <b/>
      <sz val="11"/>
      <color rgb="FF000000"/>
      <name val="Calibri"/>
      <scheme val="minor"/>
    </font>
    <font>
      <b/>
      <sz val="11"/>
      <color rgb="FF999999"/>
      <name val="Calibri"/>
      <scheme val="minor"/>
    </font>
    <font>
      <b/>
      <i/>
      <sz val="9"/>
      <color rgb="FF999999"/>
      <name val="Calibri"/>
      <scheme val="minor"/>
    </font>
    <font>
      <b/>
      <sz val="10"/>
      <color rgb="FFBF8F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9EFF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AEEE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 style="thin">
        <color theme="2" tint="-0.14996795556505021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theme="2" tint="-0.1499679555650502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 style="medium">
        <color rgb="FF1F4E79"/>
      </right>
      <top/>
      <bottom style="medium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 style="thin">
        <color rgb="FFD6E4F0"/>
      </top>
      <bottom style="thin">
        <color rgb="FFD6E4F0"/>
      </bottom>
      <diagonal/>
    </border>
    <border>
      <left/>
      <right/>
      <top style="thin">
        <color rgb="FFD6E4F0"/>
      </top>
      <bottom/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 tint="-0.14996795556505021"/>
      </left>
      <right style="thin">
        <color theme="2" tint="-0.14996795556505021"/>
      </right>
      <top/>
      <bottom style="thin">
        <color theme="2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9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65" fontId="0" fillId="0" borderId="1" xfId="2" applyNumberFormat="1" applyFont="1" applyBorder="1" applyAlignment="1">
      <alignment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/>
    <xf numFmtId="0" fontId="9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9" fillId="4" borderId="1" xfId="2" applyNumberFormat="1" applyFont="1" applyFill="1" applyBorder="1" applyAlignment="1">
      <alignment vertical="center"/>
    </xf>
    <xf numFmtId="49" fontId="10" fillId="3" borderId="1" xfId="0" applyNumberFormat="1" applyFont="1" applyFill="1" applyBorder="1" applyAlignment="1">
      <alignment vertical="center"/>
    </xf>
    <xf numFmtId="165" fontId="9" fillId="3" borderId="1" xfId="2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6" fontId="9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9" fillId="4" borderId="2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vertical="center"/>
    </xf>
    <xf numFmtId="14" fontId="9" fillId="3" borderId="1" xfId="0" applyNumberFormat="1" applyFont="1" applyFill="1" applyBorder="1" applyAlignment="1">
      <alignment horizontal="center" vertical="center"/>
    </xf>
    <xf numFmtId="165" fontId="9" fillId="4" borderId="1" xfId="2" applyNumberFormat="1" applyFont="1" applyFill="1" applyBorder="1" applyAlignment="1">
      <alignment horizontal="right" vertical="center"/>
    </xf>
    <xf numFmtId="165" fontId="9" fillId="3" borderId="1" xfId="2" applyNumberFormat="1" applyFont="1" applyFill="1" applyBorder="1" applyAlignment="1">
      <alignment horizontal="right" vertical="center"/>
    </xf>
    <xf numFmtId="22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49" fontId="10" fillId="4" borderId="1" xfId="0" applyNumberFormat="1" applyFont="1" applyFill="1" applyBorder="1" applyAlignment="1">
      <alignment horizontal="left" vertical="center"/>
    </xf>
    <xf numFmtId="14" fontId="9" fillId="3" borderId="1" xfId="0" applyNumberFormat="1" applyFont="1" applyFill="1" applyBorder="1"/>
    <xf numFmtId="0" fontId="9" fillId="3" borderId="1" xfId="0" applyFont="1" applyFill="1" applyBorder="1"/>
    <xf numFmtId="49" fontId="10" fillId="4" borderId="2" xfId="0" applyNumberFormat="1" applyFont="1" applyFill="1" applyBorder="1" applyAlignment="1">
      <alignment vertical="center"/>
    </xf>
    <xf numFmtId="49" fontId="9" fillId="4" borderId="2" xfId="0" applyNumberFormat="1" applyFont="1" applyFill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 vertical="center"/>
    </xf>
    <xf numFmtId="165" fontId="9" fillId="4" borderId="2" xfId="2" applyNumberFormat="1" applyFont="1" applyFill="1" applyBorder="1" applyAlignment="1">
      <alignment vertical="center"/>
    </xf>
    <xf numFmtId="3" fontId="9" fillId="4" borderId="2" xfId="0" applyNumberFormat="1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49" fontId="9" fillId="3" borderId="2" xfId="0" applyNumberFormat="1" applyFont="1" applyFill="1" applyBorder="1" applyAlignment="1">
      <alignment horizontal="center" vertical="center"/>
    </xf>
    <xf numFmtId="166" fontId="9" fillId="3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165" fontId="9" fillId="3" borderId="2" xfId="2" applyNumberFormat="1" applyFont="1" applyFill="1" applyBorder="1" applyAlignment="1">
      <alignment vertical="center"/>
    </xf>
    <xf numFmtId="3" fontId="9" fillId="3" borderId="2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9" fillId="3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14" fontId="9" fillId="4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164" fontId="9" fillId="4" borderId="2" xfId="0" applyNumberFormat="1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5" borderId="0" xfId="0" applyFont="1" applyFill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13" fillId="0" borderId="0" xfId="0" applyFont="1"/>
    <xf numFmtId="1" fontId="0" fillId="0" borderId="0" xfId="0" applyNumberFormat="1"/>
    <xf numFmtId="0" fontId="16" fillId="6" borderId="3" xfId="0" applyFont="1" applyFill="1" applyBorder="1" applyAlignment="1">
      <alignment horizontal="center"/>
    </xf>
    <xf numFmtId="2" fontId="0" fillId="0" borderId="0" xfId="0" applyNumberFormat="1"/>
    <xf numFmtId="0" fontId="17" fillId="3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0" fillId="8" borderId="0" xfId="0" applyFill="1"/>
    <xf numFmtId="0" fontId="16" fillId="8" borderId="4" xfId="0" applyFont="1" applyFill="1" applyBorder="1" applyAlignment="1">
      <alignment horizontal="center"/>
    </xf>
    <xf numFmtId="0" fontId="19" fillId="9" borderId="4" xfId="0" applyFont="1" applyFill="1" applyBorder="1"/>
    <xf numFmtId="3" fontId="22" fillId="9" borderId="4" xfId="0" applyNumberFormat="1" applyFont="1" applyFill="1" applyBorder="1" applyAlignment="1">
      <alignment horizontal="center"/>
    </xf>
    <xf numFmtId="0" fontId="19" fillId="10" borderId="4" xfId="0" applyFont="1" applyFill="1" applyBorder="1"/>
    <xf numFmtId="3" fontId="22" fillId="10" borderId="4" xfId="0" applyNumberFormat="1" applyFont="1" applyFill="1" applyBorder="1" applyAlignment="1">
      <alignment horizontal="center"/>
    </xf>
    <xf numFmtId="0" fontId="16" fillId="8" borderId="4" xfId="0" applyFont="1" applyFill="1" applyBorder="1"/>
    <xf numFmtId="3" fontId="23" fillId="8" borderId="4" xfId="0" applyNumberFormat="1" applyFont="1" applyFill="1" applyBorder="1" applyAlignment="1">
      <alignment horizontal="center"/>
    </xf>
    <xf numFmtId="3" fontId="20" fillId="9" borderId="6" xfId="0" applyNumberFormat="1" applyFont="1" applyFill="1" applyBorder="1" applyAlignment="1">
      <alignment horizontal="center"/>
    </xf>
    <xf numFmtId="0" fontId="19" fillId="9" borderId="8" xfId="0" applyFont="1" applyFill="1" applyBorder="1" applyAlignment="1">
      <alignment horizontal="left"/>
    </xf>
    <xf numFmtId="3" fontId="24" fillId="9" borderId="4" xfId="0" applyNumberFormat="1" applyFont="1" applyFill="1" applyBorder="1" applyAlignment="1">
      <alignment horizontal="center"/>
    </xf>
    <xf numFmtId="168" fontId="19" fillId="9" borderId="4" xfId="0" applyNumberFormat="1" applyFont="1" applyFill="1" applyBorder="1" applyAlignment="1">
      <alignment horizontal="center"/>
    </xf>
    <xf numFmtId="3" fontId="24" fillId="10" borderId="4" xfId="0" applyNumberFormat="1" applyFont="1" applyFill="1" applyBorder="1" applyAlignment="1">
      <alignment horizontal="center"/>
    </xf>
    <xf numFmtId="168" fontId="19" fillId="10" borderId="4" xfId="0" applyNumberFormat="1" applyFont="1" applyFill="1" applyBorder="1" applyAlignment="1">
      <alignment horizontal="center"/>
    </xf>
    <xf numFmtId="3" fontId="25" fillId="8" borderId="4" xfId="0" applyNumberFormat="1" applyFont="1" applyFill="1" applyBorder="1" applyAlignment="1">
      <alignment horizontal="center"/>
    </xf>
    <xf numFmtId="168" fontId="16" fillId="8" borderId="4" xfId="0" applyNumberFormat="1" applyFont="1" applyFill="1" applyBorder="1" applyAlignment="1">
      <alignment horizontal="center"/>
    </xf>
    <xf numFmtId="3" fontId="28" fillId="12" borderId="6" xfId="0" applyNumberFormat="1" applyFont="1" applyFill="1" applyBorder="1" applyAlignment="1">
      <alignment horizontal="center"/>
    </xf>
    <xf numFmtId="0" fontId="27" fillId="12" borderId="8" xfId="0" applyFont="1" applyFill="1" applyBorder="1" applyAlignment="1">
      <alignment horizontal="left"/>
    </xf>
    <xf numFmtId="0" fontId="16" fillId="13" borderId="9" xfId="0" applyFont="1" applyFill="1" applyBorder="1" applyAlignment="1">
      <alignment horizontal="center"/>
    </xf>
    <xf numFmtId="3" fontId="29" fillId="14" borderId="10" xfId="0" applyNumberFormat="1" applyFont="1" applyFill="1" applyBorder="1" applyAlignment="1">
      <alignment horizontal="center"/>
    </xf>
    <xf numFmtId="3" fontId="30" fillId="9" borderId="4" xfId="0" applyNumberFormat="1" applyFont="1" applyFill="1" applyBorder="1" applyAlignment="1">
      <alignment horizontal="center"/>
    </xf>
    <xf numFmtId="3" fontId="30" fillId="10" borderId="4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35" fillId="0" borderId="0" xfId="0" applyFont="1"/>
    <xf numFmtId="0" fontId="39" fillId="15" borderId="11" xfId="0" applyFont="1" applyFill="1" applyBorder="1" applyAlignment="1">
      <alignment horizontal="center" vertical="center"/>
    </xf>
    <xf numFmtId="0" fontId="40" fillId="15" borderId="11" xfId="0" applyFont="1" applyFill="1" applyBorder="1" applyAlignment="1">
      <alignment horizontal="center" vertical="center"/>
    </xf>
    <xf numFmtId="3" fontId="40" fillId="15" borderId="11" xfId="0" applyNumberFormat="1" applyFont="1" applyFill="1" applyBorder="1" applyAlignment="1">
      <alignment horizontal="center" vertical="center"/>
    </xf>
    <xf numFmtId="0" fontId="39" fillId="3" borderId="13" xfId="0" applyFont="1" applyFill="1" applyBorder="1" applyAlignment="1">
      <alignment horizontal="center" vertical="center"/>
    </xf>
    <xf numFmtId="0" fontId="40" fillId="3" borderId="13" xfId="0" applyFont="1" applyFill="1" applyBorder="1" applyAlignment="1">
      <alignment horizontal="center" vertical="center"/>
    </xf>
    <xf numFmtId="3" fontId="40" fillId="3" borderId="13" xfId="0" applyNumberFormat="1" applyFont="1" applyFill="1" applyBorder="1" applyAlignment="1">
      <alignment horizontal="center" vertical="center"/>
    </xf>
    <xf numFmtId="0" fontId="39" fillId="15" borderId="13" xfId="0" applyFont="1" applyFill="1" applyBorder="1" applyAlignment="1">
      <alignment horizontal="center" vertical="center"/>
    </xf>
    <xf numFmtId="0" fontId="40" fillId="15" borderId="13" xfId="0" applyFont="1" applyFill="1" applyBorder="1" applyAlignment="1">
      <alignment horizontal="center" vertical="center"/>
    </xf>
    <xf numFmtId="3" fontId="40" fillId="15" borderId="13" xfId="0" applyNumberFormat="1" applyFont="1" applyFill="1" applyBorder="1" applyAlignment="1">
      <alignment horizontal="center" vertical="center"/>
    </xf>
    <xf numFmtId="0" fontId="40" fillId="15" borderId="11" xfId="0" applyFont="1" applyFill="1" applyBorder="1" applyAlignment="1">
      <alignment vertical="center" wrapText="1"/>
    </xf>
    <xf numFmtId="0" fontId="40" fillId="3" borderId="13" xfId="0" applyFont="1" applyFill="1" applyBorder="1" applyAlignment="1">
      <alignment vertical="center" wrapText="1"/>
    </xf>
    <xf numFmtId="0" fontId="40" fillId="15" borderId="13" xfId="0" applyFont="1" applyFill="1" applyBorder="1" applyAlignment="1">
      <alignment vertical="center" wrapText="1"/>
    </xf>
    <xf numFmtId="0" fontId="38" fillId="8" borderId="0" xfId="0" applyFont="1" applyFill="1" applyAlignment="1">
      <alignment horizontal="center" vertical="center"/>
    </xf>
    <xf numFmtId="0" fontId="19" fillId="9" borderId="18" xfId="0" applyFont="1" applyFill="1" applyBorder="1"/>
    <xf numFmtId="3" fontId="24" fillId="9" borderId="18" xfId="0" applyNumberFormat="1" applyFont="1" applyFill="1" applyBorder="1" applyAlignment="1">
      <alignment horizontal="center"/>
    </xf>
    <xf numFmtId="3" fontId="30" fillId="9" borderId="18" xfId="0" applyNumberFormat="1" applyFont="1" applyFill="1" applyBorder="1" applyAlignment="1">
      <alignment horizontal="center"/>
    </xf>
    <xf numFmtId="168" fontId="19" fillId="9" borderId="18" xfId="0" applyNumberFormat="1" applyFont="1" applyFill="1" applyBorder="1" applyAlignment="1">
      <alignment horizontal="center"/>
    </xf>
    <xf numFmtId="0" fontId="32" fillId="10" borderId="19" xfId="0" applyFont="1" applyFill="1" applyBorder="1"/>
    <xf numFmtId="3" fontId="26" fillId="10" borderId="19" xfId="0" applyNumberFormat="1" applyFont="1" applyFill="1" applyBorder="1" applyAlignment="1">
      <alignment horizontal="center"/>
    </xf>
    <xf numFmtId="168" fontId="31" fillId="10" borderId="19" xfId="0" applyNumberFormat="1" applyFont="1" applyFill="1" applyBorder="1" applyAlignment="1">
      <alignment horizontal="center"/>
    </xf>
    <xf numFmtId="3" fontId="24" fillId="9" borderId="20" xfId="0" applyNumberFormat="1" applyFont="1" applyFill="1" applyBorder="1" applyAlignment="1">
      <alignment horizontal="center"/>
    </xf>
    <xf numFmtId="3" fontId="30" fillId="9" borderId="20" xfId="0" applyNumberFormat="1" applyFont="1" applyFill="1" applyBorder="1" applyAlignment="1">
      <alignment horizontal="center"/>
    </xf>
    <xf numFmtId="3" fontId="24" fillId="10" borderId="20" xfId="0" applyNumberFormat="1" applyFont="1" applyFill="1" applyBorder="1" applyAlignment="1">
      <alignment horizontal="center"/>
    </xf>
    <xf numFmtId="3" fontId="30" fillId="10" borderId="20" xfId="0" applyNumberFormat="1" applyFont="1" applyFill="1" applyBorder="1" applyAlignment="1">
      <alignment horizontal="center"/>
    </xf>
    <xf numFmtId="0" fontId="19" fillId="9" borderId="20" xfId="0" applyFont="1" applyFill="1" applyBorder="1"/>
    <xf numFmtId="0" fontId="19" fillId="10" borderId="20" xfId="0" applyFont="1" applyFill="1" applyBorder="1"/>
    <xf numFmtId="168" fontId="19" fillId="9" borderId="20" xfId="0" applyNumberFormat="1" applyFont="1" applyFill="1" applyBorder="1" applyAlignment="1">
      <alignment horizontal="center"/>
    </xf>
    <xf numFmtId="168" fontId="19" fillId="10" borderId="20" xfId="0" applyNumberFormat="1" applyFont="1" applyFill="1" applyBorder="1" applyAlignment="1">
      <alignment horizontal="center"/>
    </xf>
    <xf numFmtId="0" fontId="25" fillId="8" borderId="0" xfId="0" applyFont="1" applyFill="1"/>
    <xf numFmtId="0" fontId="8" fillId="9" borderId="0" xfId="0" applyFont="1" applyFill="1"/>
    <xf numFmtId="0" fontId="42" fillId="5" borderId="0" xfId="0" applyFont="1" applyFill="1" applyAlignment="1">
      <alignment horizontal="center"/>
    </xf>
    <xf numFmtId="0" fontId="43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10" fillId="3" borderId="2" xfId="0" applyNumberFormat="1" applyFont="1" applyFill="1" applyBorder="1" applyAlignment="1">
      <alignment vertical="center" wrapText="1"/>
    </xf>
    <xf numFmtId="49" fontId="9" fillId="3" borderId="1" xfId="0" quotePrefix="1" applyNumberFormat="1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vertical="center"/>
    </xf>
    <xf numFmtId="49" fontId="33" fillId="4" borderId="1" xfId="0" applyNumberFormat="1" applyFont="1" applyFill="1" applyBorder="1" applyAlignment="1">
      <alignment horizontal="center" vertical="center"/>
    </xf>
    <xf numFmtId="166" fontId="33" fillId="4" borderId="1" xfId="0" applyNumberFormat="1" applyFont="1" applyFill="1" applyBorder="1" applyAlignment="1">
      <alignment horizontal="center" vertical="center"/>
    </xf>
    <xf numFmtId="3" fontId="33" fillId="4" borderId="1" xfId="0" applyNumberFormat="1" applyFont="1" applyFill="1" applyBorder="1" applyAlignment="1">
      <alignment horizontal="center" vertical="center"/>
    </xf>
    <xf numFmtId="1" fontId="33" fillId="4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49" fontId="41" fillId="3" borderId="1" xfId="0" applyNumberFormat="1" applyFont="1" applyFill="1" applyBorder="1" applyAlignment="1">
      <alignment vertical="center"/>
    </xf>
    <xf numFmtId="49" fontId="33" fillId="3" borderId="1" xfId="0" applyNumberFormat="1" applyFont="1" applyFill="1" applyBorder="1" applyAlignment="1">
      <alignment horizontal="center" vertical="center"/>
    </xf>
    <xf numFmtId="166" fontId="33" fillId="3" borderId="1" xfId="0" applyNumberFormat="1" applyFont="1" applyFill="1" applyBorder="1" applyAlignment="1">
      <alignment horizontal="center" vertical="center"/>
    </xf>
    <xf numFmtId="165" fontId="33" fillId="3" borderId="1" xfId="2" applyNumberFormat="1" applyFont="1" applyFill="1" applyBorder="1" applyAlignment="1">
      <alignment vertical="center"/>
    </xf>
    <xf numFmtId="3" fontId="33" fillId="3" borderId="1" xfId="0" applyNumberFormat="1" applyFont="1" applyFill="1" applyBorder="1" applyAlignment="1">
      <alignment horizontal="center" vertical="center"/>
    </xf>
    <xf numFmtId="1" fontId="33" fillId="3" borderId="1" xfId="0" applyNumberFormat="1" applyFont="1" applyFill="1" applyBorder="1" applyAlignment="1">
      <alignment horizontal="center" vertical="center"/>
    </xf>
    <xf numFmtId="0" fontId="33" fillId="3" borderId="1" xfId="0" applyFont="1" applyFill="1" applyBorder="1" applyAlignment="1">
      <alignment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vertical="center"/>
    </xf>
    <xf numFmtId="49" fontId="33" fillId="3" borderId="2" xfId="0" applyNumberFormat="1" applyFont="1" applyFill="1" applyBorder="1" applyAlignment="1">
      <alignment horizontal="center" vertical="center"/>
    </xf>
    <xf numFmtId="166" fontId="33" fillId="3" borderId="2" xfId="0" applyNumberFormat="1" applyFont="1" applyFill="1" applyBorder="1" applyAlignment="1">
      <alignment horizontal="center" vertical="center"/>
    </xf>
    <xf numFmtId="3" fontId="33" fillId="3" borderId="2" xfId="0" applyNumberFormat="1" applyFont="1" applyFill="1" applyBorder="1" applyAlignment="1">
      <alignment horizontal="center" vertical="center"/>
    </xf>
    <xf numFmtId="1" fontId="33" fillId="3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/>
    </xf>
    <xf numFmtId="49" fontId="41" fillId="4" borderId="2" xfId="0" applyNumberFormat="1" applyFont="1" applyFill="1" applyBorder="1" applyAlignment="1">
      <alignment vertical="center"/>
    </xf>
    <xf numFmtId="0" fontId="41" fillId="4" borderId="1" xfId="0" applyFont="1" applyFill="1" applyBorder="1" applyAlignment="1">
      <alignment horizontal="center" vertical="center"/>
    </xf>
    <xf numFmtId="49" fontId="33" fillId="4" borderId="2" xfId="0" applyNumberFormat="1" applyFont="1" applyFill="1" applyBorder="1" applyAlignment="1">
      <alignment horizontal="center" vertical="center"/>
    </xf>
    <xf numFmtId="166" fontId="33" fillId="4" borderId="2" xfId="0" applyNumberFormat="1" applyFont="1" applyFill="1" applyBorder="1" applyAlignment="1">
      <alignment horizontal="center" vertical="center"/>
    </xf>
    <xf numFmtId="165" fontId="33" fillId="4" borderId="2" xfId="2" applyNumberFormat="1" applyFont="1" applyFill="1" applyBorder="1" applyAlignment="1">
      <alignment vertical="center"/>
    </xf>
    <xf numFmtId="3" fontId="33" fillId="4" borderId="2" xfId="0" applyNumberFormat="1" applyFont="1" applyFill="1" applyBorder="1" applyAlignment="1">
      <alignment horizontal="center" vertical="center"/>
    </xf>
    <xf numFmtId="1" fontId="33" fillId="4" borderId="2" xfId="0" applyNumberFormat="1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vertical="center"/>
    </xf>
    <xf numFmtId="164" fontId="9" fillId="18" borderId="1" xfId="0" applyNumberFormat="1" applyFont="1" applyFill="1" applyBorder="1" applyAlignment="1">
      <alignment horizontal="center" vertical="center"/>
    </xf>
    <xf numFmtId="164" fontId="33" fillId="18" borderId="1" xfId="0" applyNumberFormat="1" applyFont="1" applyFill="1" applyBorder="1" applyAlignment="1">
      <alignment horizontal="center" vertical="center"/>
    </xf>
    <xf numFmtId="164" fontId="33" fillId="18" borderId="2" xfId="0" applyNumberFormat="1" applyFont="1" applyFill="1" applyBorder="1" applyAlignment="1">
      <alignment horizontal="center" vertical="center"/>
    </xf>
    <xf numFmtId="164" fontId="9" fillId="18" borderId="2" xfId="0" applyNumberFormat="1" applyFont="1" applyFill="1" applyBorder="1" applyAlignment="1">
      <alignment horizontal="center" vertical="center"/>
    </xf>
    <xf numFmtId="165" fontId="9" fillId="18" borderId="1" xfId="2" applyNumberFormat="1" applyFont="1" applyFill="1" applyBorder="1" applyAlignment="1">
      <alignment vertical="center"/>
    </xf>
    <xf numFmtId="165" fontId="33" fillId="18" borderId="1" xfId="2" applyNumberFormat="1" applyFont="1" applyFill="1" applyBorder="1" applyAlignment="1">
      <alignment vertical="center"/>
    </xf>
    <xf numFmtId="165" fontId="9" fillId="18" borderId="1" xfId="0" applyNumberFormat="1" applyFont="1" applyFill="1" applyBorder="1" applyAlignment="1">
      <alignment vertical="center"/>
    </xf>
    <xf numFmtId="165" fontId="33" fillId="18" borderId="2" xfId="2" applyNumberFormat="1" applyFont="1" applyFill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165" fontId="0" fillId="0" borderId="21" xfId="2" applyNumberFormat="1" applyFont="1" applyBorder="1" applyAlignment="1">
      <alignment vertical="center"/>
    </xf>
    <xf numFmtId="1" fontId="0" fillId="0" borderId="21" xfId="0" applyNumberFormat="1" applyBorder="1" applyAlignment="1">
      <alignment vertical="center"/>
    </xf>
    <xf numFmtId="0" fontId="33" fillId="4" borderId="22" xfId="0" applyFont="1" applyFill="1" applyBorder="1" applyAlignment="1">
      <alignment vertical="center"/>
    </xf>
    <xf numFmtId="0" fontId="33" fillId="4" borderId="22" xfId="0" applyFont="1" applyFill="1" applyBorder="1" applyAlignment="1">
      <alignment horizontal="center" vertical="center"/>
    </xf>
    <xf numFmtId="49" fontId="41" fillId="4" borderId="22" xfId="0" applyNumberFormat="1" applyFont="1" applyFill="1" applyBorder="1" applyAlignment="1">
      <alignment vertical="center"/>
    </xf>
    <xf numFmtId="0" fontId="41" fillId="4" borderId="22" xfId="0" applyFont="1" applyFill="1" applyBorder="1" applyAlignment="1">
      <alignment horizontal="center" vertical="center"/>
    </xf>
    <xf numFmtId="49" fontId="33" fillId="4" borderId="22" xfId="0" applyNumberFormat="1" applyFont="1" applyFill="1" applyBorder="1" applyAlignment="1">
      <alignment horizontal="center" vertical="center"/>
    </xf>
    <xf numFmtId="166" fontId="33" fillId="4" borderId="22" xfId="0" applyNumberFormat="1" applyFont="1" applyFill="1" applyBorder="1" applyAlignment="1">
      <alignment horizontal="center" vertical="center"/>
    </xf>
    <xf numFmtId="164" fontId="33" fillId="18" borderId="22" xfId="0" applyNumberFormat="1" applyFont="1" applyFill="1" applyBorder="1" applyAlignment="1">
      <alignment horizontal="center" vertical="center"/>
    </xf>
    <xf numFmtId="3" fontId="33" fillId="4" borderId="22" xfId="0" applyNumberFormat="1" applyFont="1" applyFill="1" applyBorder="1" applyAlignment="1">
      <alignment horizontal="center" vertical="center"/>
    </xf>
    <xf numFmtId="1" fontId="33" fillId="4" borderId="22" xfId="0" applyNumberFormat="1" applyFont="1" applyFill="1" applyBorder="1" applyAlignment="1">
      <alignment horizontal="center" vertical="center"/>
    </xf>
    <xf numFmtId="0" fontId="33" fillId="3" borderId="22" xfId="0" applyFont="1" applyFill="1" applyBorder="1" applyAlignment="1">
      <alignment vertical="center"/>
    </xf>
    <xf numFmtId="0" fontId="33" fillId="3" borderId="22" xfId="0" applyFont="1" applyFill="1" applyBorder="1" applyAlignment="1">
      <alignment horizontal="center" vertical="center"/>
    </xf>
    <xf numFmtId="49" fontId="41" fillId="3" borderId="22" xfId="0" applyNumberFormat="1" applyFont="1" applyFill="1" applyBorder="1" applyAlignment="1">
      <alignment vertical="center"/>
    </xf>
    <xf numFmtId="0" fontId="41" fillId="3" borderId="22" xfId="0" applyFont="1" applyFill="1" applyBorder="1" applyAlignment="1">
      <alignment horizontal="center" vertical="center"/>
    </xf>
    <xf numFmtId="49" fontId="33" fillId="3" borderId="22" xfId="0" applyNumberFormat="1" applyFont="1" applyFill="1" applyBorder="1" applyAlignment="1">
      <alignment horizontal="center" vertical="center"/>
    </xf>
    <xf numFmtId="166" fontId="33" fillId="3" borderId="22" xfId="0" applyNumberFormat="1" applyFont="1" applyFill="1" applyBorder="1" applyAlignment="1">
      <alignment horizontal="center" vertical="center"/>
    </xf>
    <xf numFmtId="165" fontId="33" fillId="18" borderId="22" xfId="2" applyNumberFormat="1" applyFont="1" applyFill="1" applyBorder="1" applyAlignment="1">
      <alignment vertical="center"/>
    </xf>
    <xf numFmtId="1" fontId="33" fillId="3" borderId="22" xfId="0" applyNumberFormat="1" applyFont="1" applyFill="1" applyBorder="1" applyAlignment="1">
      <alignment horizontal="center" vertical="center"/>
    </xf>
    <xf numFmtId="3" fontId="33" fillId="3" borderId="22" xfId="0" applyNumberFormat="1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166" fontId="40" fillId="15" borderId="11" xfId="0" applyNumberFormat="1" applyFont="1" applyFill="1" applyBorder="1" applyAlignment="1">
      <alignment horizontal="center" vertical="center"/>
    </xf>
    <xf numFmtId="166" fontId="40" fillId="3" borderId="13" xfId="0" applyNumberFormat="1" applyFont="1" applyFill="1" applyBorder="1" applyAlignment="1">
      <alignment horizontal="center" vertical="center"/>
    </xf>
    <xf numFmtId="166" fontId="40" fillId="15" borderId="13" xfId="0" applyNumberFormat="1" applyFont="1" applyFill="1" applyBorder="1" applyAlignment="1">
      <alignment horizontal="center" vertical="center"/>
    </xf>
    <xf numFmtId="0" fontId="44" fillId="14" borderId="13" xfId="0" applyFont="1" applyFill="1" applyBorder="1" applyAlignment="1">
      <alignment horizontal="center"/>
    </xf>
    <xf numFmtId="166" fontId="44" fillId="14" borderId="13" xfId="0" applyNumberFormat="1" applyFont="1" applyFill="1" applyBorder="1" applyAlignment="1">
      <alignment horizontal="center"/>
    </xf>
    <xf numFmtId="0" fontId="44" fillId="14" borderId="13" xfId="0" applyFont="1" applyFill="1" applyBorder="1"/>
    <xf numFmtId="3" fontId="44" fillId="14" borderId="13" xfId="0" applyNumberFormat="1" applyFont="1" applyFill="1" applyBorder="1" applyAlignment="1">
      <alignment horizontal="center"/>
    </xf>
    <xf numFmtId="0" fontId="44" fillId="14" borderId="12" xfId="0" applyFont="1" applyFill="1" applyBorder="1" applyAlignment="1">
      <alignment horizontal="center"/>
    </xf>
    <xf numFmtId="166" fontId="44" fillId="14" borderId="12" xfId="0" applyNumberFormat="1" applyFont="1" applyFill="1" applyBorder="1" applyAlignment="1">
      <alignment horizontal="center"/>
    </xf>
    <xf numFmtId="0" fontId="44" fillId="14" borderId="12" xfId="0" applyFont="1" applyFill="1" applyBorder="1"/>
    <xf numFmtId="3" fontId="44" fillId="14" borderId="12" xfId="0" applyNumberFormat="1" applyFont="1" applyFill="1" applyBorder="1" applyAlignment="1">
      <alignment horizontal="center"/>
    </xf>
    <xf numFmtId="49" fontId="41" fillId="16" borderId="22" xfId="0" applyNumberFormat="1" applyFont="1" applyFill="1" applyBorder="1" applyAlignment="1">
      <alignment vertical="center"/>
    </xf>
    <xf numFmtId="2" fontId="0" fillId="20" borderId="0" xfId="0" applyNumberFormat="1" applyFill="1"/>
    <xf numFmtId="0" fontId="0" fillId="7" borderId="0" xfId="0" applyFill="1"/>
    <xf numFmtId="2" fontId="0" fillId="7" borderId="0" xfId="0" applyNumberFormat="1" applyFill="1"/>
    <xf numFmtId="1" fontId="0" fillId="7" borderId="0" xfId="0" applyNumberFormat="1" applyFill="1"/>
    <xf numFmtId="49" fontId="4" fillId="4" borderId="22" xfId="0" applyNumberFormat="1" applyFont="1" applyFill="1" applyBorder="1" applyAlignment="1">
      <alignment vertical="center"/>
    </xf>
    <xf numFmtId="49" fontId="4" fillId="3" borderId="22" xfId="0" applyNumberFormat="1" applyFont="1" applyFill="1" applyBorder="1" applyAlignment="1">
      <alignment vertical="center"/>
    </xf>
    <xf numFmtId="49" fontId="45" fillId="4" borderId="22" xfId="0" applyNumberFormat="1" applyFont="1" applyFill="1" applyBorder="1" applyAlignment="1">
      <alignment horizontal="center" vertical="center"/>
    </xf>
    <xf numFmtId="49" fontId="45" fillId="3" borderId="22" xfId="0" applyNumberFormat="1" applyFont="1" applyFill="1" applyBorder="1" applyAlignment="1">
      <alignment horizontal="center" vertical="center"/>
    </xf>
    <xf numFmtId="0" fontId="46" fillId="0" borderId="23" xfId="0" applyFont="1" applyBorder="1" applyAlignment="1">
      <alignment horizontal="center"/>
    </xf>
    <xf numFmtId="167" fontId="46" fillId="0" borderId="23" xfId="0" applyNumberFormat="1" applyFont="1" applyBorder="1" applyAlignment="1">
      <alignment horizontal="center"/>
    </xf>
    <xf numFmtId="0" fontId="0" fillId="0" borderId="23" xfId="0" applyBorder="1"/>
    <xf numFmtId="0" fontId="8" fillId="21" borderId="23" xfId="0" applyFont="1" applyFill="1" applyBorder="1" applyAlignment="1">
      <alignment horizontal="right"/>
    </xf>
    <xf numFmtId="167" fontId="8" fillId="21" borderId="23" xfId="0" applyNumberFormat="1" applyFont="1" applyFill="1" applyBorder="1" applyAlignment="1">
      <alignment horizontal="center"/>
    </xf>
    <xf numFmtId="0" fontId="25" fillId="8" borderId="0" xfId="0" applyFont="1" applyFill="1" applyAlignment="1">
      <alignment horizontal="center"/>
    </xf>
    <xf numFmtId="0" fontId="8" fillId="9" borderId="23" xfId="0" applyFont="1" applyFill="1" applyBorder="1" applyAlignment="1">
      <alignment horizontal="center"/>
    </xf>
    <xf numFmtId="2" fontId="0" fillId="3" borderId="0" xfId="0" applyNumberFormat="1" applyFill="1"/>
    <xf numFmtId="0" fontId="1" fillId="0" borderId="0" xfId="0" applyFont="1"/>
    <xf numFmtId="49" fontId="49" fillId="4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0" fillId="0" borderId="0" xfId="0" applyFont="1"/>
    <xf numFmtId="0" fontId="33" fillId="4" borderId="22" xfId="0" applyFont="1" applyFill="1" applyBorder="1" applyAlignment="1">
      <alignment vertical="center" wrapText="1"/>
    </xf>
    <xf numFmtId="0" fontId="9" fillId="4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49" fontId="9" fillId="4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33" fillId="3" borderId="22" xfId="0" applyFont="1" applyFill="1" applyBorder="1" applyAlignment="1">
      <alignment vertical="center" wrapText="1"/>
    </xf>
    <xf numFmtId="0" fontId="9" fillId="17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49" fontId="41" fillId="4" borderId="2" xfId="0" applyNumberFormat="1" applyFont="1" applyFill="1" applyBorder="1" applyAlignment="1">
      <alignment vertical="center" wrapText="1"/>
    </xf>
    <xf numFmtId="0" fontId="9" fillId="19" borderId="2" xfId="0" applyFont="1" applyFill="1" applyBorder="1" applyAlignment="1">
      <alignment horizontal="center" vertical="center" wrapText="1"/>
    </xf>
    <xf numFmtId="49" fontId="41" fillId="4" borderId="1" xfId="0" applyNumberFormat="1" applyFont="1" applyFill="1" applyBorder="1" applyAlignment="1">
      <alignment vertical="center"/>
    </xf>
    <xf numFmtId="49" fontId="41" fillId="3" borderId="2" xfId="0" applyNumberFormat="1" applyFont="1" applyFill="1" applyBorder="1" applyAlignment="1">
      <alignment vertical="center"/>
    </xf>
    <xf numFmtId="166" fontId="9" fillId="3" borderId="0" xfId="0" applyNumberFormat="1" applyFont="1" applyFill="1" applyAlignment="1">
      <alignment horizontal="center" vertical="center"/>
    </xf>
    <xf numFmtId="49" fontId="33" fillId="4" borderId="22" xfId="0" applyNumberFormat="1" applyFont="1" applyFill="1" applyBorder="1" applyAlignment="1">
      <alignment horizontal="center" vertical="center" wrapText="1"/>
    </xf>
    <xf numFmtId="49" fontId="33" fillId="3" borderId="22" xfId="0" applyNumberFormat="1" applyFont="1" applyFill="1" applyBorder="1" applyAlignment="1">
      <alignment horizontal="center" vertical="center" wrapText="1"/>
    </xf>
    <xf numFmtId="0" fontId="51" fillId="0" borderId="0" xfId="0" applyFont="1" applyAlignment="1">
      <alignment wrapText="1"/>
    </xf>
    <xf numFmtId="0" fontId="14" fillId="0" borderId="0" xfId="0" applyFont="1"/>
    <xf numFmtId="0" fontId="21" fillId="6" borderId="0" xfId="0" applyFont="1" applyFill="1" applyAlignment="1">
      <alignment horizontal="center"/>
    </xf>
    <xf numFmtId="0" fontId="0" fillId="0" borderId="0" xfId="0"/>
    <xf numFmtId="0" fontId="18" fillId="8" borderId="0" xfId="0" applyFont="1" applyFill="1" applyAlignment="1">
      <alignment horizontal="center"/>
    </xf>
    <xf numFmtId="0" fontId="16" fillId="6" borderId="5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16" fillId="11" borderId="7" xfId="0" applyFont="1" applyFill="1" applyBorder="1" applyAlignment="1">
      <alignment horizontal="center"/>
    </xf>
    <xf numFmtId="0" fontId="34" fillId="8" borderId="0" xfId="0" applyFont="1" applyFill="1" applyAlignment="1">
      <alignment horizontal="left"/>
    </xf>
    <xf numFmtId="0" fontId="36" fillId="9" borderId="14" xfId="0" applyFont="1" applyFill="1" applyBorder="1" applyAlignment="1">
      <alignment horizontal="center" vertical="center"/>
    </xf>
    <xf numFmtId="0" fontId="36" fillId="9" borderId="16" xfId="0" applyFont="1" applyFill="1" applyBorder="1" applyAlignment="1">
      <alignment horizontal="center" vertical="center"/>
    </xf>
    <xf numFmtId="3" fontId="37" fillId="3" borderId="15" xfId="0" applyNumberFormat="1" applyFont="1" applyFill="1" applyBorder="1" applyAlignment="1">
      <alignment horizontal="center" vertical="center"/>
    </xf>
    <xf numFmtId="0" fontId="37" fillId="3" borderId="17" xfId="0" applyFont="1" applyFill="1" applyBorder="1" applyAlignment="1">
      <alignment horizontal="center" vertical="center"/>
    </xf>
    <xf numFmtId="0" fontId="37" fillId="3" borderId="15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</cellXfs>
  <cellStyles count="5">
    <cellStyle name="Hiperlink 2" xfId="4" xr:uid="{85383BA5-AD9C-4E75-8CAB-90942E0FAC50}"/>
    <cellStyle name="Hyperlink" xfId="1" xr:uid="{00000000-000B-0000-0000-000008000000}"/>
    <cellStyle name="Moeda" xfId="2" builtinId="4"/>
    <cellStyle name="Moeda 2" xfId="3" xr:uid="{DD57439B-7ED0-4BA3-9A62-48838636335B}"/>
    <cellStyle name="Normal" xfId="0" builtinId="0"/>
  </cellStyles>
  <dxfs count="60">
    <dxf>
      <font>
        <b/>
        <i val="0"/>
        <color rgb="FFBF8F00"/>
      </font>
      <fill>
        <patternFill patternType="solid">
          <fgColor indexed="64"/>
          <bgColor rgb="FFFFF2CC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ill>
        <patternFill patternType="solid">
          <fgColor rgb="FFFAEEED"/>
          <bgColor rgb="FFFAEEED"/>
        </patternFill>
      </fill>
    </dxf>
    <dxf>
      <font>
        <color rgb="FF000000"/>
      </font>
      <fill>
        <patternFill patternType="solid">
          <fgColor indexed="64"/>
          <bgColor rgb="FFEBEFF1"/>
        </patternFill>
      </fill>
    </dxf>
    <dxf>
      <font>
        <b/>
        <i val="0"/>
        <color rgb="FFFFFFFF"/>
      </font>
      <fill>
        <patternFill patternType="solid">
          <fgColor indexed="64"/>
          <bgColor rgb="FF4472C4"/>
        </patternFill>
      </fill>
    </dxf>
    <dxf>
      <font>
        <b/>
        <i val="0"/>
        <color rgb="FFFFFFFF"/>
      </font>
      <fill>
        <patternFill patternType="solid">
          <fgColor indexed="64"/>
          <bgColor rgb="FFFF0000"/>
        </patternFill>
      </fill>
    </dxf>
    <dxf>
      <font>
        <b/>
        <i val="0"/>
        <color rgb="FFFFFFFF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#,##0.0"/>
      <fill>
        <patternFill patternType="solid">
          <fgColor indexed="64"/>
          <bgColor rgb="FFFAEEE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_-[$R$-416]\ * #,##0.00_-;\-[$R$-416]\ * #,##0.00_-;_-[$R$-416]\ * &quot;-&quot;??_-;_-@_-"/>
      <fill>
        <patternFill patternType="solid">
          <fgColor indexed="64"/>
          <bgColor rgb="FFFAEEED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65" formatCode="_-[$R$-416]\ * #,##0.00_-;\-[$R$-416]\ * #,##0.00_-;_-[$R$-416]\ * &quot;-&quot;??_-;_-@_-"/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dd\/mm\/yyyy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dd\/mm\/yyyy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solid">
          <fgColor indexed="64"/>
          <bgColor rgb="FFEBEFF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9CB9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fill>
        <patternFill patternType="none">
          <fgColor indexed="64"/>
          <bgColor rgb="FFB7E1CD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rgb="FFEBEFF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z val="11"/>
        <color rgb="FF000000"/>
        <name val="Calibri"/>
      </font>
      <numFmt numFmtId="169" formatCode="yyyy"/>
      <alignment horizontal="center"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 style="thin">
          <color theme="2" tint="-0.14996795556505021"/>
        </top>
        <bottom style="thin">
          <color theme="2" tint="-0.14996795556505021"/>
        </bottom>
      </border>
    </dxf>
    <dxf>
      <border>
        <top style="thin">
          <color rgb="FFD9D9D9"/>
        </top>
      </border>
    </dxf>
    <dxf>
      <font>
        <sz val="11"/>
        <color rgb="FF000000"/>
        <name val="Calibri"/>
      </font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D9D9D9"/>
        </horizontal>
      </border>
    </dxf>
    <dxf>
      <font>
        <sz val="11"/>
        <color rgb="FF000000"/>
        <name val="Calibri"/>
      </font>
      <alignment vertical="center" textRotation="0" wrapText="0" indent="0" justifyLastLine="0" shrinkToFit="0" readingOrder="0"/>
    </dxf>
    <dxf>
      <font>
        <b/>
      </font>
      <alignment vertical="center" textRotation="0" wrapText="0" indent="0" justifyLastLine="0" shrinkToFit="0" readingOrder="0"/>
      <border diagonalUp="0" diagonalDown="0">
        <left style="thin">
          <color theme="2" tint="-0.14996795556505021"/>
        </left>
        <right style="thin">
          <color theme="2" tint="-0.14996795556505021"/>
        </right>
        <top/>
        <bottom/>
      </border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</dxfs>
  <tableStyles count="3">
    <tableStyle name="Ações Externas-style" pivot="0" count="3" xr9:uid="{00000000-0011-0000-FFFF-FFFF00000000}">
      <tableStyleElement type="headerRow" dxfId="59"/>
      <tableStyleElement type="firstRowStripe" dxfId="58"/>
      <tableStyleElement type="secondRowStripe" dxfId="57"/>
    </tableStyle>
    <tableStyle name="Ações InCompany-style" pivot="0" count="3" xr9:uid="{00000000-0011-0000-FFFF-FFFF01000000}">
      <tableStyleElement type="headerRow" dxfId="56"/>
      <tableStyleElement type="firstRowStripe" dxfId="55"/>
      <tableStyleElement type="secondRowStripe" dxfId="54"/>
    </tableStyle>
    <tableStyle name="Coffee Break-style" pivot="0" count="3" xr9:uid="{00000000-0011-0000-FFFF-FFFF02000000}">
      <tableStyleElement type="headerRow" dxfId="53"/>
      <tableStyleElement type="firstRowStripe" dxfId="52"/>
      <tableStyleElement type="secondRowStripe" dxfId="51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Realizados por Público-Alvo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2026'!$B$10</c:f>
              <c:strCache>
                <c:ptCount val="1"/>
                <c:pt idx="0">
                  <c:v>Qtd. Cursos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B3-4547-9ACE-A725428FE7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3-4547-9ACE-A725428FE7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3-4547-9ACE-A725428FE7E9}"/>
              </c:ext>
            </c:extLst>
          </c:dPt>
          <c:cat>
            <c:strRef>
              <c:f>'Dashboard 2026'!$A$11:$A$13</c:f>
              <c:strCache>
                <c:ptCount val="3"/>
                <c:pt idx="0">
                  <c:v>Servidores do TCDF</c:v>
                </c:pt>
                <c:pt idx="1">
                  <c:v>Jurisdicionados</c:v>
                </c:pt>
                <c:pt idx="2">
                  <c:v>Sociedade</c:v>
                </c:pt>
              </c:strCache>
            </c:strRef>
          </c:cat>
          <c:val>
            <c:numRef>
              <c:f>'Dashboard 2026'!$B$11:$B$13</c:f>
              <c:numCache>
                <c:formatCode>#,##0</c:formatCode>
                <c:ptCount val="3"/>
                <c:pt idx="0">
                  <c:v>16</c:v>
                </c:pt>
                <c:pt idx="1">
                  <c:v>11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3-46E6-A136-DF7EAE554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Participantes por Público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2026'!$E$10</c:f>
              <c:strCache>
                <c:ptCount val="1"/>
                <c:pt idx="0">
                  <c:v>Qtd. Participantes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'Dashboard 2026'!$D$11:$D$13</c:f>
              <c:strCache>
                <c:ptCount val="3"/>
                <c:pt idx="0">
                  <c:v>Servidores (P. Servidores)</c:v>
                </c:pt>
                <c:pt idx="1">
                  <c:v>Jurisdicionados (P. Jurisdicionados)</c:v>
                </c:pt>
                <c:pt idx="2">
                  <c:v>Sociedade (P. Sociedade)</c:v>
                </c:pt>
              </c:strCache>
            </c:strRef>
          </c:cat>
          <c:val>
            <c:numRef>
              <c:f>'Dashboard 2026'!$E$11:$E$13</c:f>
              <c:numCache>
                <c:formatCode>#,##0</c:formatCode>
                <c:ptCount val="3"/>
                <c:pt idx="0">
                  <c:v>502</c:v>
                </c:pt>
                <c:pt idx="1">
                  <c:v>561</c:v>
                </c:pt>
                <c:pt idx="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6-42DA-9523-0FCF0080C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174368"/>
        <c:axId val="1869175328"/>
      </c:barChart>
      <c:catAx>
        <c:axId val="18691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175328"/>
        <c:crosses val="autoZero"/>
        <c:auto val="1"/>
        <c:lblAlgn val="ctr"/>
        <c:lblOffset val="100"/>
        <c:noMultiLvlLbl val="0"/>
      </c:catAx>
      <c:valAx>
        <c:axId val="18691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917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Cursos por Programa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'Dashboard 2026'!$B$32</c:f>
              <c:strCache>
                <c:ptCount val="1"/>
                <c:pt idx="0">
                  <c:v>Realizados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'Dashboard 2026'!$A$33:$A$44</c:f>
              <c:strCache>
                <c:ptCount val="12"/>
                <c:pt idx="0">
                  <c:v>Treinamento de Jurisdicionados</c:v>
                </c:pt>
                <c:pt idx="1">
                  <c:v>Administração, Estratégia e Inovação</c:v>
                </c:pt>
                <c:pt idx="2">
                  <c:v>Inteligência Artificial e Análise de Dados</c:v>
                </c:pt>
                <c:pt idx="3">
                  <c:v>Escola de Instrutores</c:v>
                </c:pt>
                <c:pt idx="4">
                  <c:v>Desenvolvimento Individual e Promoção da Cultura Organizacional</c:v>
                </c:pt>
                <c:pt idx="5">
                  <c:v>Formação de Controladores sociais e cidadãos</c:v>
                </c:pt>
                <c:pt idx="6">
                  <c:v>Metodologias de Auditoria e Fiscalização</c:v>
                </c:pt>
                <c:pt idx="7">
                  <c:v>Áreas Temáticas de Fiscalização do Setor Público</c:v>
                </c:pt>
                <c:pt idx="8">
                  <c:v>Treinamento em Saúde Pública</c:v>
                </c:pt>
                <c:pt idx="9">
                  <c:v>Desenvolvimento de Líderes</c:v>
                </c:pt>
                <c:pt idx="10">
                  <c:v>Ambientação e Desenvolvimento na Carreira</c:v>
                </c:pt>
                <c:pt idx="11">
                  <c:v>(Sem Programa)</c:v>
                </c:pt>
              </c:strCache>
            </c:strRef>
          </c:cat>
          <c:val>
            <c:numRef>
              <c:f>'Dashboard 2026'!$B$33:$B$44</c:f>
              <c:numCache>
                <c:formatCode>#,##0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9-4038-9F71-B3A32FF90A02}"/>
            </c:ext>
          </c:extLst>
        </c:ser>
        <c:ser>
          <c:idx val="1"/>
          <c:order val="1"/>
          <c:tx>
            <c:strRef>
              <c:f>'Dashboard 2026'!$C$32</c:f>
              <c:strCache>
                <c:ptCount val="1"/>
                <c:pt idx="0">
                  <c:v>A Realizar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strRef>
              <c:f>'Dashboard 2026'!$A$33:$A$44</c:f>
              <c:strCache>
                <c:ptCount val="12"/>
                <c:pt idx="0">
                  <c:v>Treinamento de Jurisdicionados</c:v>
                </c:pt>
                <c:pt idx="1">
                  <c:v>Administração, Estratégia e Inovação</c:v>
                </c:pt>
                <c:pt idx="2">
                  <c:v>Inteligência Artificial e Análise de Dados</c:v>
                </c:pt>
                <c:pt idx="3">
                  <c:v>Escola de Instrutores</c:v>
                </c:pt>
                <c:pt idx="4">
                  <c:v>Desenvolvimento Individual e Promoção da Cultura Organizacional</c:v>
                </c:pt>
                <c:pt idx="5">
                  <c:v>Formação de Controladores sociais e cidadãos</c:v>
                </c:pt>
                <c:pt idx="6">
                  <c:v>Metodologias de Auditoria e Fiscalização</c:v>
                </c:pt>
                <c:pt idx="7">
                  <c:v>Áreas Temáticas de Fiscalização do Setor Público</c:v>
                </c:pt>
                <c:pt idx="8">
                  <c:v>Treinamento em Saúde Pública</c:v>
                </c:pt>
                <c:pt idx="9">
                  <c:v>Desenvolvimento de Líderes</c:v>
                </c:pt>
                <c:pt idx="10">
                  <c:v>Ambientação e Desenvolvimento na Carreira</c:v>
                </c:pt>
                <c:pt idx="11">
                  <c:v>(Sem Programa)</c:v>
                </c:pt>
              </c:strCache>
            </c:strRef>
          </c:cat>
          <c:val>
            <c:numRef>
              <c:f>'Dashboard 2026'!$C$33:$C$44</c:f>
              <c:numCache>
                <c:formatCode>#,##0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9-4038-9F71-B3A32FF90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7746128"/>
        <c:axId val="1837746608"/>
      </c:barChart>
      <c:catAx>
        <c:axId val="1837746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746608"/>
        <c:crosses val="autoZero"/>
        <c:auto val="1"/>
        <c:lblAlgn val="ctr"/>
        <c:lblOffset val="100"/>
        <c:noMultiLvlLbl val="0"/>
      </c:catAx>
      <c:valAx>
        <c:axId val="183774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74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077C51-46DE-530B-9B2F-3BA6E263B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5D0FDC-B042-4E06-782C-044528D8E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29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F357C14-DB3D-95D5-9911-B3A38DBE9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D5F14-CD6F-4B62-85D2-128A9D3B5FF1}" name="Tabela2" displayName="Tabela2" ref="B1:T684" totalsRowShown="0" headerRowDxfId="50" dataDxfId="49" totalsRowDxfId="48" totalsRowBorderDxfId="47">
  <autoFilter ref="B1:T684" xr:uid="{D1BD5F14-CD6F-4B62-85D2-128A9D3B5F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sortState xmlns:xlrd2="http://schemas.microsoft.com/office/spreadsheetml/2017/richdata2" ref="B2:T684">
    <sortCondition ref="I1:I684"/>
  </sortState>
  <tableColumns count="19">
    <tableColumn id="2" xr3:uid="{19532738-24D5-4BD5-BE04-C19DCC5894A1}" name="Ano" dataDxfId="46" totalsRowDxfId="45"/>
    <tableColumn id="3" xr3:uid="{8DE0B36A-F0DC-47A1-A74E-F4BE63A4FB1D}" name="Status Evento" dataDxfId="44" totalsRowDxfId="43"/>
    <tableColumn id="4" xr3:uid="{C1159FBD-CCD0-4CA2-BB8C-598E3AB5DDD8}" name="Processo" dataDxfId="42" totalsRowDxfId="41"/>
    <tableColumn id="5" xr3:uid="{A32670A4-BE4F-480D-8DE9-8FF18024C829}" name="Curso" dataDxfId="40" totalsRowDxfId="39"/>
    <tableColumn id="8" xr3:uid="{905DEA0A-D099-47EA-972D-1012D71C7792}" name="Público-Alvo" dataDxfId="38" totalsRowDxfId="37"/>
    <tableColumn id="9" xr3:uid="{7DC0A0BE-8030-47CA-AF56-2C13C9FF7AE5}" name="Programa" dataDxfId="36" totalsRowDxfId="35"/>
    <tableColumn id="11" xr3:uid="{2B799ACD-69E4-46A5-9A4F-F7E3D7A47CE9}" name="Data TXT" dataDxfId="34" totalsRowDxfId="33"/>
    <tableColumn id="12" xr3:uid="{62016C67-3729-4C41-B72D-09D6616B7474}" name="Início" dataDxfId="32" totalsRowDxfId="31"/>
    <tableColumn id="13" xr3:uid="{E4F20518-0042-40C0-B590-B7616F2843A5}" name="Término" dataDxfId="30" totalsRowDxfId="29"/>
    <tableColumn id="14" xr3:uid="{4D6C4412-CFEE-4506-830E-F79FD008371B}" name="Modalidade" dataDxfId="28" totalsRowDxfId="27"/>
    <tableColumn id="15" xr3:uid="{12EC931A-E71B-4AEB-B20B-0F9EA63D0C71}" name="Valor instrutoria" dataDxfId="26" totalsRowDxfId="25" dataCellStyle="Moeda"/>
    <tableColumn id="17" xr3:uid="{8FCDFADA-4FA3-41E0-86FF-E623116BAFEB}" name="Nota Av. Reação" dataDxfId="24" totalsRowDxfId="23"/>
    <tableColumn id="19" xr3:uid="{316EB379-BB97-4F60-9566-576B25A26B0E}" name="Qtd Vagas" dataDxfId="22" totalsRowDxfId="21"/>
    <tableColumn id="20" xr3:uid="{59A9FB16-6726-411C-88B5-8165DD520DA3}" name="P. Servidores" dataDxfId="20" totalsRowDxfId="19"/>
    <tableColumn id="21" xr3:uid="{0246E091-ADCD-4F62-8F95-84B21E8A7BE1}" name="P. Jurisdicionados" dataDxfId="18" totalsRowDxfId="17"/>
    <tableColumn id="22" xr3:uid="{1B6DBD6D-C072-4600-81C1-69D6F4422D7D}" name="P. Sociedade" dataDxfId="16" totalsRowDxfId="15"/>
    <tableColumn id="23" xr3:uid="{109F7E4E-776C-4249-88BE-FEC3A375D7D9}" name="Total Part." dataDxfId="14" totalsRowDxfId="13"/>
    <tableColumn id="24" xr3:uid="{C67AA4C6-834C-4EBB-839B-EF0CDD50F649}" name="C.H." dataDxfId="12" totalsRowDxfId="11"/>
    <tableColumn id="26" xr3:uid="{973608F6-3E97-493C-AC61-980F73C13CD6}" name="Instrutor" dataDxfId="10" totalsRowDxfId="9"/>
  </tableColumns>
  <tableStyleInfo name="Ações Externas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8948C-EE5D-4F14-963C-6037481E33E0}" name="tblInstrutores" displayName="tblInstrutores" ref="A3:D88" totalsRowShown="0">
  <autoFilter ref="A3:D88" xr:uid="{8F28948C-EE5D-4F14-963C-6037481E33E0}"/>
  <tableColumns count="4">
    <tableColumn id="1" xr3:uid="{344CF1DC-6E8F-468D-A35B-33EE51F83C01}" name="ID"/>
    <tableColumn id="2" xr3:uid="{768095CB-D292-4265-A60B-E17C5375ABE8}" name="Instrutor"/>
    <tableColumn id="3" xr3:uid="{F6CCD2AA-BB85-4502-BBDF-741731A54DCD}" name="Tipo"/>
    <tableColumn id="4" xr3:uid="{AB8A32A0-EDA1-44E0-AD1C-4429AEA6200C}" name="A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8B321B-D3E0-4065-8E7B-726A06F27612}">
  <we:reference id="WA200009404" version="1.0.0.8" store="pt-pt" storeType="omex"/>
  <we:alternateReferences>
    <we:reference id="WA200009404" version="1.0.0.8" store="pt-pt" storeType="omex"/>
  </we:alternateReferences>
  <we:properties>
    <we:property name="claude.fileId" value="&quot;97e92f3a-5274-4681-8f9b-bc173348c42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0031-0FEE-4C02-A480-D14B9CA90666}">
  <sheetPr>
    <pageSetUpPr fitToPage="1"/>
  </sheetPr>
  <dimension ref="A1:T749"/>
  <sheetViews>
    <sheetView zoomScaleNormal="100" workbookViewId="0">
      <pane ySplit="1" topLeftCell="A698" activePane="bottomLeft" state="frozen"/>
      <selection pane="bottomLeft" activeCell="T659" sqref="T659"/>
    </sheetView>
  </sheetViews>
  <sheetFormatPr defaultColWidth="9.140625" defaultRowHeight="23.25" customHeight="1" x14ac:dyDescent="0.25"/>
  <cols>
    <col min="1" max="1" width="10" style="2" customWidth="1"/>
    <col min="2" max="2" width="11.5703125" style="3" bestFit="1" customWidth="1"/>
    <col min="3" max="3" width="17.7109375" style="3" customWidth="1"/>
    <col min="4" max="4" width="21.42578125" style="3" customWidth="1"/>
    <col min="5" max="5" width="90.140625" style="2" customWidth="1"/>
    <col min="6" max="6" width="28.85546875" style="2" customWidth="1"/>
    <col min="7" max="7" width="37.5703125" style="2" customWidth="1"/>
    <col min="8" max="8" width="23.28515625" style="3" customWidth="1"/>
    <col min="9" max="9" width="12.7109375" style="1" customWidth="1"/>
    <col min="10" max="10" width="12" style="1" customWidth="1"/>
    <col min="11" max="11" width="22.42578125" style="3" customWidth="1"/>
    <col min="12" max="12" width="18.140625" style="16" customWidth="1"/>
    <col min="13" max="13" width="16.28515625" style="2" customWidth="1"/>
    <col min="14" max="14" width="12.7109375" style="4" customWidth="1"/>
    <col min="15" max="15" width="12.42578125" style="4" customWidth="1"/>
    <col min="16" max="16" width="18.42578125" style="4" customWidth="1"/>
    <col min="17" max="17" width="12.42578125" style="4" customWidth="1"/>
    <col min="18" max="18" width="15.140625" style="4" customWidth="1"/>
    <col min="19" max="19" width="9.140625" style="2" customWidth="1"/>
    <col min="20" max="20" width="52.7109375" style="2" customWidth="1"/>
    <col min="21" max="16384" width="9.140625" style="2"/>
  </cols>
  <sheetData>
    <row r="1" spans="1:20" ht="23.2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5" t="s">
        <v>6</v>
      </c>
      <c r="H1" s="7" t="s">
        <v>7</v>
      </c>
      <c r="I1" s="8" t="s">
        <v>8</v>
      </c>
      <c r="J1" s="8" t="s">
        <v>9</v>
      </c>
      <c r="K1" s="5" t="s">
        <v>10</v>
      </c>
      <c r="L1" s="94" t="s">
        <v>11</v>
      </c>
      <c r="M1" s="9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7" t="s">
        <v>17</v>
      </c>
      <c r="S1" s="6" t="s">
        <v>18</v>
      </c>
      <c r="T1" s="5" t="s">
        <v>19</v>
      </c>
    </row>
    <row r="2" spans="1:20" ht="23.25" customHeight="1" x14ac:dyDescent="0.25">
      <c r="A2" s="20" t="s">
        <v>20</v>
      </c>
      <c r="B2" s="22">
        <v>2014</v>
      </c>
      <c r="C2" s="90" t="s">
        <v>21</v>
      </c>
      <c r="D2" s="22"/>
      <c r="E2" s="27" t="s">
        <v>22</v>
      </c>
      <c r="F2" s="29" t="s">
        <v>23</v>
      </c>
      <c r="G2" s="20" t="s">
        <v>24</v>
      </c>
      <c r="H2" s="36" t="s">
        <v>25</v>
      </c>
      <c r="I2" s="37">
        <v>41715</v>
      </c>
      <c r="J2" s="37">
        <v>41719</v>
      </c>
      <c r="K2" s="22" t="s">
        <v>26</v>
      </c>
      <c r="L2" s="28">
        <v>19500</v>
      </c>
      <c r="M2" s="86"/>
      <c r="N2" s="41"/>
      <c r="O2" s="23">
        <v>20</v>
      </c>
      <c r="P2" s="23"/>
      <c r="Q2" s="23"/>
      <c r="R2" s="23">
        <f t="shared" ref="R2:R65" si="0">SUM(O2:Q2)</f>
        <v>20</v>
      </c>
      <c r="S2" s="22">
        <v>20</v>
      </c>
      <c r="T2" s="20"/>
    </row>
    <row r="3" spans="1:20" ht="23.25" customHeight="1" x14ac:dyDescent="0.25">
      <c r="A3" s="21" t="s">
        <v>27</v>
      </c>
      <c r="B3" s="24">
        <v>2014</v>
      </c>
      <c r="C3" s="90" t="s">
        <v>21</v>
      </c>
      <c r="D3" s="24" t="s">
        <v>28</v>
      </c>
      <c r="E3" s="30" t="s">
        <v>29</v>
      </c>
      <c r="F3" s="31" t="s">
        <v>23</v>
      </c>
      <c r="G3" s="21" t="s">
        <v>24</v>
      </c>
      <c r="H3" s="38" t="s">
        <v>30</v>
      </c>
      <c r="I3" s="39">
        <v>41743</v>
      </c>
      <c r="J3" s="39">
        <v>41744</v>
      </c>
      <c r="K3" s="24" t="s">
        <v>26</v>
      </c>
      <c r="L3" s="26">
        <v>28000</v>
      </c>
      <c r="M3" s="87"/>
      <c r="N3" s="40"/>
      <c r="O3" s="25">
        <v>16</v>
      </c>
      <c r="P3" s="25"/>
      <c r="Q3" s="25"/>
      <c r="R3" s="25">
        <f t="shared" si="0"/>
        <v>16</v>
      </c>
      <c r="S3" s="24">
        <v>16</v>
      </c>
      <c r="T3" s="21"/>
    </row>
    <row r="4" spans="1:20" ht="23.25" customHeight="1" x14ac:dyDescent="0.25">
      <c r="A4" s="20" t="s">
        <v>31</v>
      </c>
      <c r="B4" s="22">
        <v>2014</v>
      </c>
      <c r="C4" s="90" t="s">
        <v>21</v>
      </c>
      <c r="D4" s="22"/>
      <c r="E4" s="27" t="s">
        <v>32</v>
      </c>
      <c r="F4" s="29" t="s">
        <v>23</v>
      </c>
      <c r="G4" s="20" t="s">
        <v>33</v>
      </c>
      <c r="H4" s="36" t="s">
        <v>34</v>
      </c>
      <c r="I4" s="37">
        <v>41792</v>
      </c>
      <c r="J4" s="37">
        <v>41799</v>
      </c>
      <c r="K4" s="22" t="s">
        <v>35</v>
      </c>
      <c r="L4" s="28">
        <v>2991</v>
      </c>
      <c r="M4" s="86"/>
      <c r="N4" s="41"/>
      <c r="O4" s="23">
        <v>24</v>
      </c>
      <c r="P4" s="23"/>
      <c r="Q4" s="23"/>
      <c r="R4" s="23">
        <f t="shared" si="0"/>
        <v>24</v>
      </c>
      <c r="S4" s="22">
        <v>24</v>
      </c>
      <c r="T4" s="20"/>
    </row>
    <row r="5" spans="1:20" ht="23.25" customHeight="1" x14ac:dyDescent="0.25">
      <c r="A5" s="21" t="s">
        <v>36</v>
      </c>
      <c r="B5" s="24">
        <v>2014</v>
      </c>
      <c r="C5" s="90" t="s">
        <v>21</v>
      </c>
      <c r="D5" s="24"/>
      <c r="E5" s="30" t="s">
        <v>37</v>
      </c>
      <c r="F5" s="31" t="s">
        <v>23</v>
      </c>
      <c r="G5" s="21" t="s">
        <v>38</v>
      </c>
      <c r="H5" s="38" t="s">
        <v>39</v>
      </c>
      <c r="I5" s="39">
        <v>41814</v>
      </c>
      <c r="J5" s="39">
        <v>41815</v>
      </c>
      <c r="K5" s="24" t="s">
        <v>26</v>
      </c>
      <c r="L5" s="26">
        <v>41341.160000000003</v>
      </c>
      <c r="M5" s="87"/>
      <c r="N5" s="40"/>
      <c r="O5" s="25">
        <v>16</v>
      </c>
      <c r="P5" s="25"/>
      <c r="Q5" s="25"/>
      <c r="R5" s="25">
        <f t="shared" si="0"/>
        <v>16</v>
      </c>
      <c r="S5" s="24">
        <v>16</v>
      </c>
      <c r="T5" s="21"/>
    </row>
    <row r="6" spans="1:20" ht="23.25" customHeight="1" x14ac:dyDescent="0.25">
      <c r="A6" s="20" t="s">
        <v>40</v>
      </c>
      <c r="B6" s="22">
        <v>2014</v>
      </c>
      <c r="C6" s="90" t="s">
        <v>21</v>
      </c>
      <c r="D6" s="22"/>
      <c r="E6" s="27" t="s">
        <v>41</v>
      </c>
      <c r="F6" s="29" t="s">
        <v>23</v>
      </c>
      <c r="G6" s="20" t="s">
        <v>24</v>
      </c>
      <c r="H6" s="36" t="s">
        <v>42</v>
      </c>
      <c r="I6" s="37">
        <v>41855</v>
      </c>
      <c r="J6" s="37">
        <v>41859</v>
      </c>
      <c r="K6" s="22" t="s">
        <v>26</v>
      </c>
      <c r="L6" s="28">
        <v>54900</v>
      </c>
      <c r="M6" s="86"/>
      <c r="N6" s="41"/>
      <c r="O6" s="23">
        <v>40</v>
      </c>
      <c r="P6" s="23"/>
      <c r="Q6" s="23"/>
      <c r="R6" s="23">
        <f t="shared" si="0"/>
        <v>40</v>
      </c>
      <c r="S6" s="22">
        <v>40</v>
      </c>
      <c r="T6" s="20"/>
    </row>
    <row r="7" spans="1:20" ht="23.25" customHeight="1" x14ac:dyDescent="0.25">
      <c r="A7" s="21" t="s">
        <v>43</v>
      </c>
      <c r="B7" s="24">
        <v>2014</v>
      </c>
      <c r="C7" s="90" t="s">
        <v>21</v>
      </c>
      <c r="D7" s="24"/>
      <c r="E7" s="30" t="s">
        <v>44</v>
      </c>
      <c r="F7" s="31" t="s">
        <v>23</v>
      </c>
      <c r="G7" s="21" t="s">
        <v>24</v>
      </c>
      <c r="H7" s="38" t="s">
        <v>45</v>
      </c>
      <c r="I7" s="39">
        <v>41892</v>
      </c>
      <c r="J7" s="39">
        <v>41892</v>
      </c>
      <c r="K7" s="24" t="s">
        <v>26</v>
      </c>
      <c r="L7" s="26">
        <v>15000</v>
      </c>
      <c r="M7" s="87"/>
      <c r="N7" s="40"/>
      <c r="O7" s="25">
        <v>30</v>
      </c>
      <c r="P7" s="25"/>
      <c r="Q7" s="25"/>
      <c r="R7" s="25">
        <f t="shared" si="0"/>
        <v>30</v>
      </c>
      <c r="S7" s="24">
        <v>30</v>
      </c>
      <c r="T7" s="21"/>
    </row>
    <row r="8" spans="1:20" ht="23.25" customHeight="1" x14ac:dyDescent="0.25">
      <c r="A8" s="20" t="s">
        <v>46</v>
      </c>
      <c r="B8" s="22">
        <v>2014</v>
      </c>
      <c r="C8" s="90" t="s">
        <v>21</v>
      </c>
      <c r="D8" s="22"/>
      <c r="E8" s="27"/>
      <c r="F8" s="29" t="s">
        <v>23</v>
      </c>
      <c r="G8" s="20" t="s">
        <v>24</v>
      </c>
      <c r="H8" s="36" t="s">
        <v>47</v>
      </c>
      <c r="I8" s="37">
        <v>41943</v>
      </c>
      <c r="J8" s="37">
        <v>41943</v>
      </c>
      <c r="K8" s="22" t="s">
        <v>26</v>
      </c>
      <c r="L8" s="28">
        <v>33260</v>
      </c>
      <c r="M8" s="86"/>
      <c r="N8" s="41"/>
      <c r="O8" s="23">
        <v>24</v>
      </c>
      <c r="P8" s="23"/>
      <c r="Q8" s="23"/>
      <c r="R8" s="23">
        <f t="shared" si="0"/>
        <v>24</v>
      </c>
      <c r="S8" s="22">
        <v>24</v>
      </c>
      <c r="T8" s="20"/>
    </row>
    <row r="9" spans="1:20" ht="23.25" customHeight="1" x14ac:dyDescent="0.25">
      <c r="A9" s="21" t="s">
        <v>48</v>
      </c>
      <c r="B9" s="24">
        <v>2014</v>
      </c>
      <c r="C9" s="90" t="s">
        <v>21</v>
      </c>
      <c r="D9" s="24"/>
      <c r="E9" s="30" t="s">
        <v>49</v>
      </c>
      <c r="F9" s="31" t="s">
        <v>23</v>
      </c>
      <c r="G9" s="21" t="s">
        <v>38</v>
      </c>
      <c r="H9" s="38" t="s">
        <v>50</v>
      </c>
      <c r="I9" s="39">
        <v>41953</v>
      </c>
      <c r="J9" s="39">
        <v>41957</v>
      </c>
      <c r="K9" s="24" t="s">
        <v>35</v>
      </c>
      <c r="L9" s="26">
        <v>4353.54</v>
      </c>
      <c r="M9" s="87"/>
      <c r="N9" s="40"/>
      <c r="O9" s="25"/>
      <c r="P9" s="25">
        <v>37</v>
      </c>
      <c r="Q9" s="25"/>
      <c r="R9" s="25">
        <f t="shared" si="0"/>
        <v>37</v>
      </c>
      <c r="S9" s="24">
        <v>8</v>
      </c>
      <c r="T9" s="21"/>
    </row>
    <row r="10" spans="1:20" ht="23.25" customHeight="1" x14ac:dyDescent="0.25">
      <c r="A10" s="20" t="s">
        <v>51</v>
      </c>
      <c r="B10" s="22">
        <v>2014</v>
      </c>
      <c r="C10" s="90" t="s">
        <v>21</v>
      </c>
      <c r="D10" s="22"/>
      <c r="E10" s="27" t="s">
        <v>52</v>
      </c>
      <c r="F10" s="29" t="s">
        <v>23</v>
      </c>
      <c r="G10" s="20" t="s">
        <v>24</v>
      </c>
      <c r="H10" s="36" t="s">
        <v>53</v>
      </c>
      <c r="I10" s="37">
        <v>41967</v>
      </c>
      <c r="J10" s="37">
        <v>41971</v>
      </c>
      <c r="K10" s="22" t="s">
        <v>35</v>
      </c>
      <c r="L10" s="28">
        <v>4353.54</v>
      </c>
      <c r="M10" s="86"/>
      <c r="N10" s="41"/>
      <c r="O10" s="23"/>
      <c r="P10" s="23">
        <v>58</v>
      </c>
      <c r="Q10" s="23"/>
      <c r="R10" s="23">
        <f t="shared" si="0"/>
        <v>58</v>
      </c>
      <c r="S10" s="22">
        <v>20</v>
      </c>
      <c r="T10" s="20"/>
    </row>
    <row r="11" spans="1:20" ht="23.25" customHeight="1" x14ac:dyDescent="0.25">
      <c r="A11" s="21" t="s">
        <v>54</v>
      </c>
      <c r="B11" s="24">
        <v>2015</v>
      </c>
      <c r="C11" s="90" t="s">
        <v>21</v>
      </c>
      <c r="D11" s="24" t="s">
        <v>55</v>
      </c>
      <c r="E11" s="30" t="s">
        <v>56</v>
      </c>
      <c r="F11" s="31" t="s">
        <v>23</v>
      </c>
      <c r="G11" s="21" t="s">
        <v>24</v>
      </c>
      <c r="H11" s="38" t="s">
        <v>57</v>
      </c>
      <c r="I11" s="39">
        <v>42086</v>
      </c>
      <c r="J11" s="39">
        <v>42090</v>
      </c>
      <c r="K11" s="24" t="s">
        <v>26</v>
      </c>
      <c r="L11" s="26">
        <v>23500</v>
      </c>
      <c r="M11" s="87"/>
      <c r="N11" s="40"/>
      <c r="O11" s="25">
        <v>25</v>
      </c>
      <c r="P11" s="25"/>
      <c r="Q11" s="25"/>
      <c r="R11" s="25">
        <f t="shared" si="0"/>
        <v>25</v>
      </c>
      <c r="S11" s="24">
        <v>20</v>
      </c>
      <c r="T11" s="21" t="s">
        <v>58</v>
      </c>
    </row>
    <row r="12" spans="1:20" ht="23.25" customHeight="1" x14ac:dyDescent="0.25">
      <c r="A12" s="20" t="s">
        <v>59</v>
      </c>
      <c r="B12" s="22">
        <v>2015</v>
      </c>
      <c r="C12" s="90" t="s">
        <v>21</v>
      </c>
      <c r="D12" s="22" t="s">
        <v>60</v>
      </c>
      <c r="E12" s="27" t="s">
        <v>61</v>
      </c>
      <c r="F12" s="29" t="s">
        <v>62</v>
      </c>
      <c r="G12" s="20" t="s">
        <v>38</v>
      </c>
      <c r="H12" s="36" t="s">
        <v>63</v>
      </c>
      <c r="I12" s="37">
        <v>42100</v>
      </c>
      <c r="J12" s="37">
        <v>42104</v>
      </c>
      <c r="K12" s="22" t="s">
        <v>35</v>
      </c>
      <c r="L12" s="28">
        <v>4992.74</v>
      </c>
      <c r="M12" s="86"/>
      <c r="N12" s="41"/>
      <c r="O12" s="23"/>
      <c r="P12" s="23">
        <v>85</v>
      </c>
      <c r="Q12" s="23"/>
      <c r="R12" s="23">
        <f t="shared" si="0"/>
        <v>85</v>
      </c>
      <c r="S12" s="22">
        <v>20</v>
      </c>
      <c r="T12" s="20" t="s">
        <v>64</v>
      </c>
    </row>
    <row r="13" spans="1:20" ht="23.25" customHeight="1" x14ac:dyDescent="0.25">
      <c r="A13" s="21" t="s">
        <v>65</v>
      </c>
      <c r="B13" s="24">
        <v>2015</v>
      </c>
      <c r="C13" s="90" t="s">
        <v>21</v>
      </c>
      <c r="D13" s="24" t="s">
        <v>66</v>
      </c>
      <c r="E13" s="30" t="s">
        <v>67</v>
      </c>
      <c r="F13" s="31" t="s">
        <v>23</v>
      </c>
      <c r="G13" s="21" t="s">
        <v>68</v>
      </c>
      <c r="H13" s="38" t="s">
        <v>63</v>
      </c>
      <c r="I13" s="39">
        <v>42100</v>
      </c>
      <c r="J13" s="39">
        <v>42104</v>
      </c>
      <c r="K13" s="24" t="s">
        <v>26</v>
      </c>
      <c r="L13" s="26">
        <v>29000</v>
      </c>
      <c r="M13" s="87"/>
      <c r="N13" s="40"/>
      <c r="O13" s="25">
        <v>19</v>
      </c>
      <c r="P13" s="25"/>
      <c r="Q13" s="25"/>
      <c r="R13" s="25">
        <f t="shared" si="0"/>
        <v>19</v>
      </c>
      <c r="S13" s="24">
        <v>40</v>
      </c>
      <c r="T13" s="21" t="s">
        <v>69</v>
      </c>
    </row>
    <row r="14" spans="1:20" ht="23.25" customHeight="1" x14ac:dyDescent="0.25">
      <c r="A14" s="20" t="s">
        <v>70</v>
      </c>
      <c r="B14" s="22">
        <v>2015</v>
      </c>
      <c r="C14" s="90" t="s">
        <v>21</v>
      </c>
      <c r="D14" s="22" t="s">
        <v>71</v>
      </c>
      <c r="E14" s="27" t="s">
        <v>52</v>
      </c>
      <c r="F14" s="29" t="s">
        <v>62</v>
      </c>
      <c r="G14" s="20" t="s">
        <v>72</v>
      </c>
      <c r="H14" s="36" t="s">
        <v>73</v>
      </c>
      <c r="I14" s="37">
        <v>42107</v>
      </c>
      <c r="J14" s="37">
        <v>42111</v>
      </c>
      <c r="K14" s="22" t="s">
        <v>35</v>
      </c>
      <c r="L14" s="28">
        <v>4447.5200000000004</v>
      </c>
      <c r="M14" s="86"/>
      <c r="N14" s="41"/>
      <c r="O14" s="23"/>
      <c r="P14" s="23">
        <v>89</v>
      </c>
      <c r="Q14" s="23"/>
      <c r="R14" s="23">
        <f t="shared" si="0"/>
        <v>89</v>
      </c>
      <c r="S14" s="22">
        <v>20</v>
      </c>
      <c r="T14" s="20" t="s">
        <v>74</v>
      </c>
    </row>
    <row r="15" spans="1:20" ht="23.25" customHeight="1" x14ac:dyDescent="0.25">
      <c r="A15" s="21" t="s">
        <v>75</v>
      </c>
      <c r="B15" s="24">
        <v>2015</v>
      </c>
      <c r="C15" s="90" t="s">
        <v>21</v>
      </c>
      <c r="D15" s="24" t="s">
        <v>76</v>
      </c>
      <c r="E15" s="30" t="s">
        <v>77</v>
      </c>
      <c r="F15" s="31" t="s">
        <v>23</v>
      </c>
      <c r="G15" s="21" t="s">
        <v>38</v>
      </c>
      <c r="H15" s="38" t="s">
        <v>78</v>
      </c>
      <c r="I15" s="39">
        <v>42110</v>
      </c>
      <c r="J15" s="39">
        <v>42118</v>
      </c>
      <c r="K15" s="24" t="s">
        <v>35</v>
      </c>
      <c r="L15" s="26">
        <v>4447.5200000000004</v>
      </c>
      <c r="M15" s="87"/>
      <c r="N15" s="40"/>
      <c r="O15" s="25">
        <v>37</v>
      </c>
      <c r="P15" s="25"/>
      <c r="Q15" s="25"/>
      <c r="R15" s="25">
        <f t="shared" si="0"/>
        <v>37</v>
      </c>
      <c r="S15" s="24">
        <v>30</v>
      </c>
      <c r="T15" s="21" t="s">
        <v>74</v>
      </c>
    </row>
    <row r="16" spans="1:20" ht="23.25" customHeight="1" x14ac:dyDescent="0.25">
      <c r="A16" s="20" t="s">
        <v>79</v>
      </c>
      <c r="B16" s="22">
        <v>2015</v>
      </c>
      <c r="C16" s="90" t="s">
        <v>21</v>
      </c>
      <c r="D16" s="22"/>
      <c r="E16" s="27" t="s">
        <v>80</v>
      </c>
      <c r="F16" s="29" t="s">
        <v>81</v>
      </c>
      <c r="G16" s="20" t="s">
        <v>82</v>
      </c>
      <c r="H16" s="36" t="s">
        <v>83</v>
      </c>
      <c r="I16" s="37">
        <v>42122</v>
      </c>
      <c r="J16" s="37">
        <v>42122</v>
      </c>
      <c r="K16" s="22" t="s">
        <v>35</v>
      </c>
      <c r="L16" s="28">
        <v>0</v>
      </c>
      <c r="M16" s="86"/>
      <c r="N16" s="41"/>
      <c r="O16" s="23">
        <v>0</v>
      </c>
      <c r="P16" s="23">
        <v>0</v>
      </c>
      <c r="Q16" s="23">
        <v>0</v>
      </c>
      <c r="R16" s="23">
        <f t="shared" si="0"/>
        <v>0</v>
      </c>
      <c r="S16" s="22">
        <v>5</v>
      </c>
      <c r="T16" s="20"/>
    </row>
    <row r="17" spans="1:20" ht="23.25" customHeight="1" x14ac:dyDescent="0.25">
      <c r="A17" s="21" t="s">
        <v>84</v>
      </c>
      <c r="B17" s="24">
        <v>2015</v>
      </c>
      <c r="C17" s="90" t="s">
        <v>21</v>
      </c>
      <c r="D17" s="24" t="s">
        <v>85</v>
      </c>
      <c r="E17" s="30" t="s">
        <v>86</v>
      </c>
      <c r="F17" s="31" t="s">
        <v>23</v>
      </c>
      <c r="G17" s="21" t="s">
        <v>24</v>
      </c>
      <c r="H17" s="38" t="s">
        <v>87</v>
      </c>
      <c r="I17" s="39">
        <v>42129</v>
      </c>
      <c r="J17" s="39">
        <v>42132</v>
      </c>
      <c r="K17" s="24" t="s">
        <v>26</v>
      </c>
      <c r="L17" s="26">
        <v>35500</v>
      </c>
      <c r="M17" s="87"/>
      <c r="N17" s="40"/>
      <c r="O17" s="25">
        <v>30</v>
      </c>
      <c r="P17" s="25"/>
      <c r="Q17" s="25"/>
      <c r="R17" s="25">
        <f t="shared" si="0"/>
        <v>30</v>
      </c>
      <c r="S17" s="24">
        <v>16</v>
      </c>
      <c r="T17" s="21" t="s">
        <v>88</v>
      </c>
    </row>
    <row r="18" spans="1:20" ht="23.25" customHeight="1" x14ac:dyDescent="0.25">
      <c r="A18" s="20" t="s">
        <v>89</v>
      </c>
      <c r="B18" s="22">
        <v>2015</v>
      </c>
      <c r="C18" s="90" t="s">
        <v>21</v>
      </c>
      <c r="D18" s="22" t="s">
        <v>90</v>
      </c>
      <c r="E18" s="27" t="s">
        <v>91</v>
      </c>
      <c r="F18" s="29" t="s">
        <v>23</v>
      </c>
      <c r="G18" s="20" t="s">
        <v>38</v>
      </c>
      <c r="H18" s="36" t="s">
        <v>92</v>
      </c>
      <c r="I18" s="37">
        <v>42135</v>
      </c>
      <c r="J18" s="37">
        <v>42139</v>
      </c>
      <c r="K18" s="22" t="s">
        <v>35</v>
      </c>
      <c r="L18" s="28">
        <v>4992.74</v>
      </c>
      <c r="M18" s="86"/>
      <c r="N18" s="41"/>
      <c r="O18" s="23">
        <v>30</v>
      </c>
      <c r="P18" s="23"/>
      <c r="Q18" s="23"/>
      <c r="R18" s="23">
        <f t="shared" si="0"/>
        <v>30</v>
      </c>
      <c r="S18" s="22">
        <v>20</v>
      </c>
      <c r="T18" s="20" t="s">
        <v>93</v>
      </c>
    </row>
    <row r="19" spans="1:20" ht="23.25" customHeight="1" x14ac:dyDescent="0.25">
      <c r="A19" s="21" t="s">
        <v>94</v>
      </c>
      <c r="B19" s="24">
        <v>2015</v>
      </c>
      <c r="C19" s="90" t="s">
        <v>21</v>
      </c>
      <c r="D19" s="24" t="s">
        <v>95</v>
      </c>
      <c r="E19" s="30" t="s">
        <v>96</v>
      </c>
      <c r="F19" s="31" t="s">
        <v>23</v>
      </c>
      <c r="G19" s="21" t="s">
        <v>38</v>
      </c>
      <c r="H19" s="38" t="s">
        <v>97</v>
      </c>
      <c r="I19" s="39">
        <v>42146</v>
      </c>
      <c r="J19" s="39">
        <v>42146</v>
      </c>
      <c r="K19" s="24" t="s">
        <v>26</v>
      </c>
      <c r="L19" s="26">
        <v>0</v>
      </c>
      <c r="M19" s="87"/>
      <c r="N19" s="40"/>
      <c r="O19" s="25">
        <v>15</v>
      </c>
      <c r="P19" s="25"/>
      <c r="Q19" s="25"/>
      <c r="R19" s="25">
        <f t="shared" si="0"/>
        <v>15</v>
      </c>
      <c r="S19" s="24">
        <v>8</v>
      </c>
      <c r="T19" s="21" t="s">
        <v>98</v>
      </c>
    </row>
    <row r="20" spans="1:20" ht="23.25" customHeight="1" x14ac:dyDescent="0.25">
      <c r="A20" s="20" t="s">
        <v>99</v>
      </c>
      <c r="B20" s="22">
        <v>2015</v>
      </c>
      <c r="C20" s="90" t="s">
        <v>21</v>
      </c>
      <c r="D20" s="22" t="s">
        <v>100</v>
      </c>
      <c r="E20" s="27" t="s">
        <v>101</v>
      </c>
      <c r="F20" s="29" t="s">
        <v>23</v>
      </c>
      <c r="G20" s="20" t="s">
        <v>33</v>
      </c>
      <c r="H20" s="36" t="s">
        <v>102</v>
      </c>
      <c r="I20" s="37">
        <v>42149</v>
      </c>
      <c r="J20" s="37">
        <v>42156</v>
      </c>
      <c r="K20" s="22" t="s">
        <v>26</v>
      </c>
      <c r="L20" s="28">
        <v>2630</v>
      </c>
      <c r="M20" s="86"/>
      <c r="N20" s="41"/>
      <c r="O20" s="23">
        <v>14</v>
      </c>
      <c r="P20" s="23"/>
      <c r="Q20" s="23"/>
      <c r="R20" s="23">
        <f t="shared" si="0"/>
        <v>14</v>
      </c>
      <c r="S20" s="22">
        <v>24</v>
      </c>
      <c r="T20" s="20" t="s">
        <v>103</v>
      </c>
    </row>
    <row r="21" spans="1:20" ht="23.25" customHeight="1" x14ac:dyDescent="0.25">
      <c r="A21" s="21" t="s">
        <v>104</v>
      </c>
      <c r="B21" s="24">
        <v>2015</v>
      </c>
      <c r="C21" s="90" t="s">
        <v>21</v>
      </c>
      <c r="D21" s="24" t="s">
        <v>105</v>
      </c>
      <c r="E21" s="30" t="s">
        <v>106</v>
      </c>
      <c r="F21" s="31" t="s">
        <v>23</v>
      </c>
      <c r="G21" s="21" t="s">
        <v>38</v>
      </c>
      <c r="H21" s="38" t="s">
        <v>107</v>
      </c>
      <c r="I21" s="39">
        <v>42163</v>
      </c>
      <c r="J21" s="39">
        <v>42167</v>
      </c>
      <c r="K21" s="24" t="s">
        <v>35</v>
      </c>
      <c r="L21" s="26">
        <v>0</v>
      </c>
      <c r="M21" s="87"/>
      <c r="N21" s="40"/>
      <c r="O21" s="25">
        <v>14</v>
      </c>
      <c r="P21" s="25"/>
      <c r="Q21" s="25"/>
      <c r="R21" s="25">
        <f t="shared" si="0"/>
        <v>14</v>
      </c>
      <c r="S21" s="24">
        <v>20</v>
      </c>
      <c r="T21" s="21" t="s">
        <v>108</v>
      </c>
    </row>
    <row r="22" spans="1:20" ht="23.25" customHeight="1" x14ac:dyDescent="0.25">
      <c r="A22" s="20" t="s">
        <v>109</v>
      </c>
      <c r="B22" s="22">
        <v>2015</v>
      </c>
      <c r="C22" s="90" t="s">
        <v>21</v>
      </c>
      <c r="D22" s="22" t="s">
        <v>110</v>
      </c>
      <c r="E22" s="27" t="s">
        <v>111</v>
      </c>
      <c r="F22" s="29" t="s">
        <v>62</v>
      </c>
      <c r="G22" s="20" t="s">
        <v>72</v>
      </c>
      <c r="H22" s="36" t="s">
        <v>112</v>
      </c>
      <c r="I22" s="37">
        <v>42170</v>
      </c>
      <c r="J22" s="37">
        <v>42174</v>
      </c>
      <c r="K22" s="22" t="s">
        <v>35</v>
      </c>
      <c r="L22" s="28">
        <v>4447.5200000000004</v>
      </c>
      <c r="M22" s="86"/>
      <c r="N22" s="41"/>
      <c r="O22" s="23"/>
      <c r="P22" s="23">
        <v>49</v>
      </c>
      <c r="Q22" s="23"/>
      <c r="R22" s="23">
        <f t="shared" si="0"/>
        <v>49</v>
      </c>
      <c r="S22" s="22">
        <v>20</v>
      </c>
      <c r="T22" s="20" t="s">
        <v>113</v>
      </c>
    </row>
    <row r="23" spans="1:20" ht="23.25" customHeight="1" x14ac:dyDescent="0.25">
      <c r="A23" s="21" t="s">
        <v>114</v>
      </c>
      <c r="B23" s="24">
        <v>2015</v>
      </c>
      <c r="C23" s="90" t="s">
        <v>21</v>
      </c>
      <c r="D23" s="24" t="s">
        <v>115</v>
      </c>
      <c r="E23" s="30" t="s">
        <v>116</v>
      </c>
      <c r="F23" s="31" t="s">
        <v>23</v>
      </c>
      <c r="G23" s="21" t="s">
        <v>38</v>
      </c>
      <c r="H23" s="38" t="s">
        <v>117</v>
      </c>
      <c r="I23" s="39">
        <v>42221</v>
      </c>
      <c r="J23" s="39">
        <v>42223</v>
      </c>
      <c r="K23" s="24" t="s">
        <v>35</v>
      </c>
      <c r="L23" s="26">
        <v>0</v>
      </c>
      <c r="M23" s="87"/>
      <c r="N23" s="40"/>
      <c r="O23" s="25">
        <v>43</v>
      </c>
      <c r="P23" s="25"/>
      <c r="Q23" s="25"/>
      <c r="R23" s="25">
        <f t="shared" si="0"/>
        <v>43</v>
      </c>
      <c r="S23" s="24">
        <v>8</v>
      </c>
      <c r="T23" s="21" t="s">
        <v>118</v>
      </c>
    </row>
    <row r="24" spans="1:20" ht="23.25" customHeight="1" x14ac:dyDescent="0.25">
      <c r="A24" s="20" t="s">
        <v>119</v>
      </c>
      <c r="B24" s="22">
        <v>2015</v>
      </c>
      <c r="C24" s="90" t="s">
        <v>21</v>
      </c>
      <c r="D24" s="22" t="s">
        <v>120</v>
      </c>
      <c r="E24" s="27" t="s">
        <v>121</v>
      </c>
      <c r="F24" s="29" t="s">
        <v>23</v>
      </c>
      <c r="G24" s="20" t="s">
        <v>33</v>
      </c>
      <c r="H24" s="36" t="s">
        <v>122</v>
      </c>
      <c r="I24" s="37">
        <v>42240</v>
      </c>
      <c r="J24" s="37">
        <v>42244</v>
      </c>
      <c r="K24" s="22" t="s">
        <v>35</v>
      </c>
      <c r="L24" s="28">
        <v>2702.38</v>
      </c>
      <c r="M24" s="86"/>
      <c r="N24" s="41"/>
      <c r="O24" s="23">
        <v>25</v>
      </c>
      <c r="P24" s="23"/>
      <c r="Q24" s="23"/>
      <c r="R24" s="23">
        <f t="shared" si="0"/>
        <v>25</v>
      </c>
      <c r="S24" s="22">
        <v>20</v>
      </c>
      <c r="T24" s="20" t="s">
        <v>123</v>
      </c>
    </row>
    <row r="25" spans="1:20" ht="23.25" customHeight="1" x14ac:dyDescent="0.25">
      <c r="A25" s="21" t="s">
        <v>124</v>
      </c>
      <c r="B25" s="24">
        <v>2015</v>
      </c>
      <c r="C25" s="90" t="s">
        <v>21</v>
      </c>
      <c r="D25" s="24" t="s">
        <v>125</v>
      </c>
      <c r="E25" s="30" t="s">
        <v>126</v>
      </c>
      <c r="F25" s="31" t="s">
        <v>23</v>
      </c>
      <c r="G25" s="21" t="s">
        <v>72</v>
      </c>
      <c r="H25" s="38" t="s">
        <v>127</v>
      </c>
      <c r="I25" s="39">
        <v>42247</v>
      </c>
      <c r="J25" s="39">
        <v>42251</v>
      </c>
      <c r="K25" s="24" t="s">
        <v>26</v>
      </c>
      <c r="L25" s="26">
        <v>33600</v>
      </c>
      <c r="M25" s="87"/>
      <c r="N25" s="40"/>
      <c r="O25" s="25">
        <v>35</v>
      </c>
      <c r="P25" s="25"/>
      <c r="Q25" s="25"/>
      <c r="R25" s="25">
        <f t="shared" si="0"/>
        <v>35</v>
      </c>
      <c r="S25" s="24">
        <v>20</v>
      </c>
      <c r="T25" s="21" t="s">
        <v>128</v>
      </c>
    </row>
    <row r="26" spans="1:20" ht="23.25" customHeight="1" x14ac:dyDescent="0.25">
      <c r="A26" s="20" t="s">
        <v>129</v>
      </c>
      <c r="B26" s="22">
        <v>2015</v>
      </c>
      <c r="C26" s="90" t="s">
        <v>21</v>
      </c>
      <c r="D26" s="22" t="s">
        <v>130</v>
      </c>
      <c r="E26" s="27" t="s">
        <v>131</v>
      </c>
      <c r="F26" s="29" t="s">
        <v>23</v>
      </c>
      <c r="G26" s="20" t="s">
        <v>24</v>
      </c>
      <c r="H26" s="36" t="s">
        <v>132</v>
      </c>
      <c r="I26" s="37">
        <v>42261</v>
      </c>
      <c r="J26" s="37">
        <v>42265</v>
      </c>
      <c r="K26" s="22" t="s">
        <v>26</v>
      </c>
      <c r="L26" s="28">
        <v>15000</v>
      </c>
      <c r="M26" s="86"/>
      <c r="N26" s="41"/>
      <c r="O26" s="23">
        <v>35</v>
      </c>
      <c r="P26" s="23"/>
      <c r="Q26" s="23"/>
      <c r="R26" s="23">
        <f t="shared" si="0"/>
        <v>35</v>
      </c>
      <c r="S26" s="22">
        <v>25</v>
      </c>
      <c r="T26" s="20" t="s">
        <v>133</v>
      </c>
    </row>
    <row r="27" spans="1:20" ht="23.25" customHeight="1" x14ac:dyDescent="0.25">
      <c r="A27" s="21" t="s">
        <v>134</v>
      </c>
      <c r="B27" s="24">
        <v>2015</v>
      </c>
      <c r="C27" s="90" t="s">
        <v>21</v>
      </c>
      <c r="D27" s="24"/>
      <c r="E27" s="30" t="s">
        <v>135</v>
      </c>
      <c r="F27" s="31" t="s">
        <v>62</v>
      </c>
      <c r="G27" s="21" t="s">
        <v>82</v>
      </c>
      <c r="H27" s="38" t="s">
        <v>83</v>
      </c>
      <c r="I27" s="39">
        <v>42268</v>
      </c>
      <c r="J27" s="39">
        <v>42272</v>
      </c>
      <c r="K27" s="24" t="s">
        <v>35</v>
      </c>
      <c r="L27" s="26">
        <v>4447.5200000000004</v>
      </c>
      <c r="M27" s="87"/>
      <c r="N27" s="40"/>
      <c r="O27" s="25">
        <v>87</v>
      </c>
      <c r="P27" s="25"/>
      <c r="Q27" s="25"/>
      <c r="R27" s="25">
        <f t="shared" si="0"/>
        <v>87</v>
      </c>
      <c r="S27" s="24"/>
      <c r="T27" s="21"/>
    </row>
    <row r="28" spans="1:20" ht="23.25" customHeight="1" x14ac:dyDescent="0.25">
      <c r="A28" s="20" t="s">
        <v>136</v>
      </c>
      <c r="B28" s="22">
        <v>2015</v>
      </c>
      <c r="C28" s="90" t="s">
        <v>21</v>
      </c>
      <c r="D28" s="22" t="s">
        <v>137</v>
      </c>
      <c r="E28" s="27" t="s">
        <v>138</v>
      </c>
      <c r="F28" s="29" t="s">
        <v>81</v>
      </c>
      <c r="G28" s="20" t="s">
        <v>72</v>
      </c>
      <c r="H28" s="36" t="s">
        <v>139</v>
      </c>
      <c r="I28" s="37">
        <v>42276</v>
      </c>
      <c r="J28" s="37">
        <v>42279</v>
      </c>
      <c r="K28" s="22" t="s">
        <v>35</v>
      </c>
      <c r="L28" s="28">
        <v>4076.52</v>
      </c>
      <c r="M28" s="86"/>
      <c r="N28" s="41"/>
      <c r="O28" s="23"/>
      <c r="P28" s="23"/>
      <c r="Q28" s="23">
        <v>46</v>
      </c>
      <c r="R28" s="23">
        <f t="shared" si="0"/>
        <v>46</v>
      </c>
      <c r="S28" s="22">
        <v>20</v>
      </c>
      <c r="T28" s="20" t="s">
        <v>140</v>
      </c>
    </row>
    <row r="29" spans="1:20" ht="23.25" customHeight="1" x14ac:dyDescent="0.25">
      <c r="A29" s="21" t="s">
        <v>141</v>
      </c>
      <c r="B29" s="24">
        <v>2015</v>
      </c>
      <c r="C29" s="90" t="s">
        <v>21</v>
      </c>
      <c r="D29" s="24" t="s">
        <v>142</v>
      </c>
      <c r="E29" s="30" t="s">
        <v>143</v>
      </c>
      <c r="F29" s="31" t="s">
        <v>23</v>
      </c>
      <c r="G29" s="21" t="s">
        <v>33</v>
      </c>
      <c r="H29" s="38" t="s">
        <v>144</v>
      </c>
      <c r="I29" s="39">
        <v>42282</v>
      </c>
      <c r="J29" s="39">
        <v>42286</v>
      </c>
      <c r="K29" s="24" t="s">
        <v>35</v>
      </c>
      <c r="L29" s="26">
        <v>4447.5200000000004</v>
      </c>
      <c r="M29" s="87"/>
      <c r="N29" s="40"/>
      <c r="O29" s="25">
        <v>15</v>
      </c>
      <c r="P29" s="25"/>
      <c r="Q29" s="25"/>
      <c r="R29" s="25">
        <f t="shared" si="0"/>
        <v>15</v>
      </c>
      <c r="S29" s="24">
        <v>20</v>
      </c>
      <c r="T29" s="32" t="s">
        <v>145</v>
      </c>
    </row>
    <row r="30" spans="1:20" ht="23.25" customHeight="1" x14ac:dyDescent="0.25">
      <c r="A30" s="20" t="s">
        <v>146</v>
      </c>
      <c r="B30" s="22">
        <v>2015</v>
      </c>
      <c r="C30" s="90" t="s">
        <v>21</v>
      </c>
      <c r="D30" s="22" t="s">
        <v>110</v>
      </c>
      <c r="E30" s="27" t="s">
        <v>147</v>
      </c>
      <c r="F30" s="29" t="s">
        <v>62</v>
      </c>
      <c r="G30" s="20" t="s">
        <v>72</v>
      </c>
      <c r="H30" s="36" t="s">
        <v>148</v>
      </c>
      <c r="I30" s="37">
        <v>42296</v>
      </c>
      <c r="J30" s="37">
        <v>42300</v>
      </c>
      <c r="K30" s="22" t="s">
        <v>35</v>
      </c>
      <c r="L30" s="28">
        <v>4447.5200000000004</v>
      </c>
      <c r="M30" s="86"/>
      <c r="N30" s="41"/>
      <c r="O30" s="23"/>
      <c r="P30" s="23">
        <v>54</v>
      </c>
      <c r="Q30" s="23"/>
      <c r="R30" s="23">
        <f t="shared" si="0"/>
        <v>54</v>
      </c>
      <c r="S30" s="22">
        <v>20</v>
      </c>
      <c r="T30" s="20" t="s">
        <v>113</v>
      </c>
    </row>
    <row r="31" spans="1:20" ht="23.25" customHeight="1" x14ac:dyDescent="0.25">
      <c r="A31" s="21" t="s">
        <v>149</v>
      </c>
      <c r="B31" s="24">
        <v>2015</v>
      </c>
      <c r="C31" s="90" t="s">
        <v>21</v>
      </c>
      <c r="D31" s="24"/>
      <c r="E31" s="30" t="s">
        <v>150</v>
      </c>
      <c r="F31" s="31" t="s">
        <v>62</v>
      </c>
      <c r="G31" s="21" t="s">
        <v>82</v>
      </c>
      <c r="H31" s="38" t="s">
        <v>83</v>
      </c>
      <c r="I31" s="39">
        <v>42303</v>
      </c>
      <c r="J31" s="39">
        <v>42305</v>
      </c>
      <c r="K31" s="24" t="s">
        <v>35</v>
      </c>
      <c r="L31" s="26">
        <v>4447.5200000000004</v>
      </c>
      <c r="M31" s="87"/>
      <c r="N31" s="40"/>
      <c r="O31" s="25">
        <v>52</v>
      </c>
      <c r="P31" s="25"/>
      <c r="Q31" s="25"/>
      <c r="R31" s="25">
        <f t="shared" si="0"/>
        <v>52</v>
      </c>
      <c r="S31" s="24">
        <v>0</v>
      </c>
      <c r="T31" s="21"/>
    </row>
    <row r="32" spans="1:20" ht="23.25" customHeight="1" x14ac:dyDescent="0.25">
      <c r="A32" s="20" t="s">
        <v>151</v>
      </c>
      <c r="B32" s="22">
        <v>2015</v>
      </c>
      <c r="C32" s="90" t="s">
        <v>21</v>
      </c>
      <c r="D32" s="22" t="s">
        <v>137</v>
      </c>
      <c r="E32" s="27" t="s">
        <v>152</v>
      </c>
      <c r="F32" s="29" t="s">
        <v>81</v>
      </c>
      <c r="G32" s="20" t="s">
        <v>72</v>
      </c>
      <c r="H32" s="36" t="s">
        <v>153</v>
      </c>
      <c r="I32" s="37">
        <v>42325</v>
      </c>
      <c r="J32" s="37">
        <v>42328</v>
      </c>
      <c r="K32" s="22" t="s">
        <v>35</v>
      </c>
      <c r="L32" s="28">
        <v>4076.52</v>
      </c>
      <c r="M32" s="86"/>
      <c r="N32" s="41"/>
      <c r="O32" s="23"/>
      <c r="P32" s="23"/>
      <c r="Q32" s="23">
        <v>46</v>
      </c>
      <c r="R32" s="23">
        <f t="shared" si="0"/>
        <v>46</v>
      </c>
      <c r="S32" s="22">
        <v>20</v>
      </c>
      <c r="T32" s="20" t="s">
        <v>140</v>
      </c>
    </row>
    <row r="33" spans="1:20" ht="23.25" customHeight="1" x14ac:dyDescent="0.25">
      <c r="A33" s="21" t="s">
        <v>154</v>
      </c>
      <c r="B33" s="24">
        <v>2016</v>
      </c>
      <c r="C33" s="90" t="s">
        <v>21</v>
      </c>
      <c r="D33" s="24" t="s">
        <v>155</v>
      </c>
      <c r="E33" s="30" t="s">
        <v>156</v>
      </c>
      <c r="F33" s="31" t="s">
        <v>23</v>
      </c>
      <c r="G33" s="21" t="s">
        <v>82</v>
      </c>
      <c r="H33" s="38" t="s">
        <v>83</v>
      </c>
      <c r="I33" s="39">
        <v>42495</v>
      </c>
      <c r="J33" s="39"/>
      <c r="K33" s="24" t="s">
        <v>26</v>
      </c>
      <c r="L33" s="26">
        <v>0</v>
      </c>
      <c r="M33" s="87"/>
      <c r="N33" s="40"/>
      <c r="O33" s="25">
        <v>14</v>
      </c>
      <c r="P33" s="25"/>
      <c r="Q33" s="25"/>
      <c r="R33" s="25">
        <f t="shared" si="0"/>
        <v>14</v>
      </c>
      <c r="S33" s="24">
        <v>8</v>
      </c>
      <c r="T33" s="21" t="s">
        <v>157</v>
      </c>
    </row>
    <row r="34" spans="1:20" ht="23.25" customHeight="1" x14ac:dyDescent="0.25">
      <c r="A34" s="20" t="s">
        <v>158</v>
      </c>
      <c r="B34" s="22">
        <v>2016</v>
      </c>
      <c r="C34" s="90" t="s">
        <v>21</v>
      </c>
      <c r="D34" s="22"/>
      <c r="E34" s="27" t="s">
        <v>159</v>
      </c>
      <c r="F34" s="29" t="s">
        <v>23</v>
      </c>
      <c r="G34" s="20" t="s">
        <v>82</v>
      </c>
      <c r="H34" s="36" t="s">
        <v>83</v>
      </c>
      <c r="I34" s="37">
        <v>42495</v>
      </c>
      <c r="J34" s="37"/>
      <c r="K34" s="22" t="s">
        <v>26</v>
      </c>
      <c r="L34" s="28">
        <v>22500</v>
      </c>
      <c r="M34" s="86"/>
      <c r="N34" s="41"/>
      <c r="O34" s="23">
        <v>25</v>
      </c>
      <c r="P34" s="23"/>
      <c r="Q34" s="23"/>
      <c r="R34" s="23">
        <f t="shared" si="0"/>
        <v>25</v>
      </c>
      <c r="S34" s="22">
        <v>20</v>
      </c>
      <c r="T34" s="20"/>
    </row>
    <row r="35" spans="1:20" ht="23.25" customHeight="1" x14ac:dyDescent="0.25">
      <c r="A35" s="21" t="s">
        <v>160</v>
      </c>
      <c r="B35" s="24">
        <v>2016</v>
      </c>
      <c r="C35" s="90" t="s">
        <v>21</v>
      </c>
      <c r="D35" s="24" t="s">
        <v>161</v>
      </c>
      <c r="E35" s="30" t="s">
        <v>162</v>
      </c>
      <c r="F35" s="31" t="s">
        <v>23</v>
      </c>
      <c r="G35" s="21" t="s">
        <v>82</v>
      </c>
      <c r="H35" s="38" t="s">
        <v>83</v>
      </c>
      <c r="I35" s="39">
        <v>42495</v>
      </c>
      <c r="J35" s="39"/>
      <c r="K35" s="24" t="s">
        <v>26</v>
      </c>
      <c r="L35" s="26">
        <v>25200</v>
      </c>
      <c r="M35" s="87"/>
      <c r="N35" s="40"/>
      <c r="O35" s="25">
        <v>17</v>
      </c>
      <c r="P35" s="25"/>
      <c r="Q35" s="25"/>
      <c r="R35" s="25">
        <f t="shared" si="0"/>
        <v>17</v>
      </c>
      <c r="S35" s="24">
        <v>20</v>
      </c>
      <c r="T35" s="21" t="s">
        <v>163</v>
      </c>
    </row>
    <row r="36" spans="1:20" ht="23.25" customHeight="1" x14ac:dyDescent="0.25">
      <c r="A36" s="20" t="s">
        <v>164</v>
      </c>
      <c r="B36" s="22">
        <v>2016</v>
      </c>
      <c r="C36" s="90" t="s">
        <v>21</v>
      </c>
      <c r="D36" s="22" t="s">
        <v>165</v>
      </c>
      <c r="E36" s="27" t="s">
        <v>166</v>
      </c>
      <c r="F36" s="29" t="s">
        <v>62</v>
      </c>
      <c r="G36" s="20" t="s">
        <v>72</v>
      </c>
      <c r="H36" s="36" t="s">
        <v>167</v>
      </c>
      <c r="I36" s="37">
        <v>42506</v>
      </c>
      <c r="J36" s="37">
        <v>42510</v>
      </c>
      <c r="K36" s="22" t="s">
        <v>35</v>
      </c>
      <c r="L36" s="28">
        <v>6671.48</v>
      </c>
      <c r="M36" s="86"/>
      <c r="N36" s="41"/>
      <c r="O36" s="23"/>
      <c r="P36" s="23">
        <v>75</v>
      </c>
      <c r="Q36" s="23"/>
      <c r="R36" s="23">
        <f t="shared" si="0"/>
        <v>75</v>
      </c>
      <c r="S36" s="22">
        <v>20</v>
      </c>
      <c r="T36" s="20" t="s">
        <v>74</v>
      </c>
    </row>
    <row r="37" spans="1:20" ht="23.25" customHeight="1" x14ac:dyDescent="0.25">
      <c r="A37" s="21" t="s">
        <v>168</v>
      </c>
      <c r="B37" s="24">
        <v>2016</v>
      </c>
      <c r="C37" s="90" t="s">
        <v>21</v>
      </c>
      <c r="D37" s="24" t="s">
        <v>169</v>
      </c>
      <c r="E37" s="30" t="s">
        <v>170</v>
      </c>
      <c r="F37" s="31" t="s">
        <v>81</v>
      </c>
      <c r="G37" s="21" t="s">
        <v>72</v>
      </c>
      <c r="H37" s="38" t="s">
        <v>171</v>
      </c>
      <c r="I37" s="39">
        <v>42534</v>
      </c>
      <c r="J37" s="39">
        <v>42534</v>
      </c>
      <c r="K37" s="24" t="s">
        <v>35</v>
      </c>
      <c r="L37" s="26">
        <v>2668.6</v>
      </c>
      <c r="M37" s="87"/>
      <c r="N37" s="40"/>
      <c r="O37" s="25"/>
      <c r="P37" s="25">
        <v>18</v>
      </c>
      <c r="Q37" s="25"/>
      <c r="R37" s="25">
        <f t="shared" si="0"/>
        <v>18</v>
      </c>
      <c r="S37" s="24">
        <v>3</v>
      </c>
      <c r="T37" s="32" t="s">
        <v>172</v>
      </c>
    </row>
    <row r="38" spans="1:20" ht="23.25" customHeight="1" x14ac:dyDescent="0.25">
      <c r="A38" s="20" t="s">
        <v>173</v>
      </c>
      <c r="B38" s="22">
        <v>2016</v>
      </c>
      <c r="C38" s="90" t="s">
        <v>21</v>
      </c>
      <c r="D38" s="22" t="s">
        <v>174</v>
      </c>
      <c r="E38" s="27" t="s">
        <v>175</v>
      </c>
      <c r="F38" s="29" t="s">
        <v>81</v>
      </c>
      <c r="G38" s="20" t="s">
        <v>72</v>
      </c>
      <c r="H38" s="36" t="s">
        <v>176</v>
      </c>
      <c r="I38" s="37">
        <v>42534</v>
      </c>
      <c r="J38" s="37">
        <v>42535</v>
      </c>
      <c r="K38" s="22" t="s">
        <v>26</v>
      </c>
      <c r="L38" s="28">
        <v>0</v>
      </c>
      <c r="M38" s="86"/>
      <c r="N38" s="41"/>
      <c r="O38" s="23">
        <v>33</v>
      </c>
      <c r="P38" s="23"/>
      <c r="Q38" s="23"/>
      <c r="R38" s="23">
        <f t="shared" si="0"/>
        <v>33</v>
      </c>
      <c r="S38" s="22">
        <v>10</v>
      </c>
      <c r="T38" s="20" t="s">
        <v>177</v>
      </c>
    </row>
    <row r="39" spans="1:20" ht="23.25" customHeight="1" x14ac:dyDescent="0.25">
      <c r="A39" s="21" t="s">
        <v>178</v>
      </c>
      <c r="B39" s="24">
        <v>2016</v>
      </c>
      <c r="C39" s="90" t="s">
        <v>21</v>
      </c>
      <c r="D39" s="24" t="s">
        <v>179</v>
      </c>
      <c r="E39" s="30" t="s">
        <v>180</v>
      </c>
      <c r="F39" s="31" t="s">
        <v>62</v>
      </c>
      <c r="G39" s="21" t="s">
        <v>72</v>
      </c>
      <c r="H39" s="38" t="s">
        <v>181</v>
      </c>
      <c r="I39" s="39">
        <v>42534</v>
      </c>
      <c r="J39" s="39">
        <v>42538</v>
      </c>
      <c r="K39" s="24" t="s">
        <v>35</v>
      </c>
      <c r="L39" s="26">
        <v>6671.48</v>
      </c>
      <c r="M39" s="87"/>
      <c r="N39" s="40"/>
      <c r="O39" s="25"/>
      <c r="P39" s="25">
        <v>55</v>
      </c>
      <c r="Q39" s="25"/>
      <c r="R39" s="25">
        <f t="shared" si="0"/>
        <v>55</v>
      </c>
      <c r="S39" s="24">
        <v>20</v>
      </c>
      <c r="T39" s="21" t="s">
        <v>113</v>
      </c>
    </row>
    <row r="40" spans="1:20" ht="23.25" customHeight="1" x14ac:dyDescent="0.25">
      <c r="A40" s="20" t="s">
        <v>182</v>
      </c>
      <c r="B40" s="22">
        <v>2016</v>
      </c>
      <c r="C40" s="90" t="s">
        <v>21</v>
      </c>
      <c r="D40" s="22" t="s">
        <v>183</v>
      </c>
      <c r="E40" s="27" t="s">
        <v>184</v>
      </c>
      <c r="F40" s="29" t="s">
        <v>81</v>
      </c>
      <c r="G40" s="20" t="s">
        <v>24</v>
      </c>
      <c r="H40" s="36" t="s">
        <v>185</v>
      </c>
      <c r="I40" s="37">
        <v>42548</v>
      </c>
      <c r="J40" s="37">
        <v>42552</v>
      </c>
      <c r="K40" s="22" t="s">
        <v>35</v>
      </c>
      <c r="L40" s="28">
        <v>7080.23</v>
      </c>
      <c r="M40" s="86"/>
      <c r="N40" s="41"/>
      <c r="O40" s="23"/>
      <c r="P40" s="23"/>
      <c r="Q40" s="23">
        <v>45</v>
      </c>
      <c r="R40" s="23">
        <f t="shared" si="0"/>
        <v>45</v>
      </c>
      <c r="S40" s="22">
        <v>20</v>
      </c>
      <c r="T40" s="20" t="s">
        <v>186</v>
      </c>
    </row>
    <row r="41" spans="1:20" ht="23.25" customHeight="1" x14ac:dyDescent="0.25">
      <c r="A41" s="21" t="s">
        <v>187</v>
      </c>
      <c r="B41" s="24">
        <v>2016</v>
      </c>
      <c r="C41" s="90" t="s">
        <v>21</v>
      </c>
      <c r="D41" s="24" t="s">
        <v>188</v>
      </c>
      <c r="E41" s="30" t="s">
        <v>189</v>
      </c>
      <c r="F41" s="31" t="s">
        <v>23</v>
      </c>
      <c r="G41" s="21" t="s">
        <v>33</v>
      </c>
      <c r="H41" s="38" t="s">
        <v>185</v>
      </c>
      <c r="I41" s="39">
        <v>42548</v>
      </c>
      <c r="J41" s="39">
        <v>42552</v>
      </c>
      <c r="K41" s="24" t="s">
        <v>35</v>
      </c>
      <c r="L41" s="26">
        <v>6671.48</v>
      </c>
      <c r="M41" s="87"/>
      <c r="N41" s="40"/>
      <c r="O41" s="25">
        <v>15</v>
      </c>
      <c r="P41" s="25"/>
      <c r="Q41" s="25"/>
      <c r="R41" s="25">
        <f t="shared" si="0"/>
        <v>15</v>
      </c>
      <c r="S41" s="24">
        <v>20</v>
      </c>
      <c r="T41" s="21" t="s">
        <v>190</v>
      </c>
    </row>
    <row r="42" spans="1:20" ht="23.25" customHeight="1" x14ac:dyDescent="0.25">
      <c r="A42" s="20" t="s">
        <v>191</v>
      </c>
      <c r="B42" s="22">
        <v>2016</v>
      </c>
      <c r="C42" s="90" t="s">
        <v>21</v>
      </c>
      <c r="D42" s="22" t="s">
        <v>192</v>
      </c>
      <c r="E42" s="27" t="s">
        <v>193</v>
      </c>
      <c r="F42" s="29" t="s">
        <v>81</v>
      </c>
      <c r="G42" s="20" t="s">
        <v>72</v>
      </c>
      <c r="H42" s="36" t="s">
        <v>194</v>
      </c>
      <c r="I42" s="37">
        <v>42549</v>
      </c>
      <c r="J42" s="37">
        <v>42551</v>
      </c>
      <c r="K42" s="22" t="s">
        <v>35</v>
      </c>
      <c r="L42" s="28">
        <v>1334.3</v>
      </c>
      <c r="M42" s="86"/>
      <c r="N42" s="41"/>
      <c r="O42" s="23"/>
      <c r="P42" s="23"/>
      <c r="Q42" s="23">
        <v>21</v>
      </c>
      <c r="R42" s="23">
        <f t="shared" si="0"/>
        <v>21</v>
      </c>
      <c r="S42" s="22">
        <v>8</v>
      </c>
      <c r="T42" s="33" t="s">
        <v>195</v>
      </c>
    </row>
    <row r="43" spans="1:20" ht="23.25" customHeight="1" x14ac:dyDescent="0.25">
      <c r="A43" s="21" t="s">
        <v>196</v>
      </c>
      <c r="B43" s="24">
        <v>2016</v>
      </c>
      <c r="C43" s="90" t="s">
        <v>21</v>
      </c>
      <c r="D43" s="24" t="s">
        <v>197</v>
      </c>
      <c r="E43" s="30" t="s">
        <v>198</v>
      </c>
      <c r="F43" s="31" t="s">
        <v>23</v>
      </c>
      <c r="G43" s="21" t="s">
        <v>199</v>
      </c>
      <c r="H43" s="38" t="s">
        <v>200</v>
      </c>
      <c r="I43" s="39">
        <v>42571</v>
      </c>
      <c r="J43" s="39">
        <v>42572</v>
      </c>
      <c r="K43" s="24" t="s">
        <v>26</v>
      </c>
      <c r="L43" s="26">
        <v>0</v>
      </c>
      <c r="M43" s="87"/>
      <c r="N43" s="40"/>
      <c r="O43" s="25">
        <v>40</v>
      </c>
      <c r="P43" s="25"/>
      <c r="Q43" s="25"/>
      <c r="R43" s="25">
        <f t="shared" si="0"/>
        <v>40</v>
      </c>
      <c r="S43" s="24">
        <v>9</v>
      </c>
      <c r="T43" s="21" t="s">
        <v>201</v>
      </c>
    </row>
    <row r="44" spans="1:20" ht="23.25" customHeight="1" x14ac:dyDescent="0.25">
      <c r="A44" s="20" t="s">
        <v>202</v>
      </c>
      <c r="B44" s="22">
        <v>2016</v>
      </c>
      <c r="C44" s="90" t="s">
        <v>21</v>
      </c>
      <c r="D44" s="22" t="s">
        <v>203</v>
      </c>
      <c r="E44" s="27" t="s">
        <v>204</v>
      </c>
      <c r="F44" s="29" t="s">
        <v>62</v>
      </c>
      <c r="G44" s="20" t="s">
        <v>72</v>
      </c>
      <c r="H44" s="36" t="s">
        <v>205</v>
      </c>
      <c r="I44" s="37">
        <v>42583</v>
      </c>
      <c r="J44" s="37">
        <v>42584</v>
      </c>
      <c r="K44" s="22" t="s">
        <v>35</v>
      </c>
      <c r="L44" s="28">
        <v>2668.6</v>
      </c>
      <c r="M44" s="86"/>
      <c r="N44" s="41"/>
      <c r="O44" s="23"/>
      <c r="P44" s="23">
        <v>45</v>
      </c>
      <c r="Q44" s="23"/>
      <c r="R44" s="23">
        <f t="shared" si="0"/>
        <v>45</v>
      </c>
      <c r="S44" s="22">
        <v>8</v>
      </c>
      <c r="T44" s="20" t="s">
        <v>206</v>
      </c>
    </row>
    <row r="45" spans="1:20" ht="23.25" customHeight="1" x14ac:dyDescent="0.25">
      <c r="A45" s="21" t="s">
        <v>207</v>
      </c>
      <c r="B45" s="24">
        <v>2016</v>
      </c>
      <c r="C45" s="90" t="s">
        <v>21</v>
      </c>
      <c r="D45" s="24" t="s">
        <v>208</v>
      </c>
      <c r="E45" s="30" t="s">
        <v>209</v>
      </c>
      <c r="F45" s="31" t="s">
        <v>23</v>
      </c>
      <c r="G45" s="21" t="s">
        <v>33</v>
      </c>
      <c r="H45" s="38" t="s">
        <v>210</v>
      </c>
      <c r="I45" s="39">
        <v>42590</v>
      </c>
      <c r="J45" s="39">
        <v>42594</v>
      </c>
      <c r="K45" s="24" t="s">
        <v>35</v>
      </c>
      <c r="L45" s="26">
        <v>7488.98</v>
      </c>
      <c r="M45" s="87"/>
      <c r="N45" s="40"/>
      <c r="O45" s="25">
        <v>13</v>
      </c>
      <c r="P45" s="25"/>
      <c r="Q45" s="25"/>
      <c r="R45" s="25">
        <f t="shared" si="0"/>
        <v>13</v>
      </c>
      <c r="S45" s="24">
        <v>20</v>
      </c>
      <c r="T45" s="32" t="s">
        <v>211</v>
      </c>
    </row>
    <row r="46" spans="1:20" ht="23.25" customHeight="1" x14ac:dyDescent="0.25">
      <c r="A46" s="20" t="s">
        <v>212</v>
      </c>
      <c r="B46" s="22">
        <v>2016</v>
      </c>
      <c r="C46" s="90" t="s">
        <v>21</v>
      </c>
      <c r="D46" s="22" t="s">
        <v>213</v>
      </c>
      <c r="E46" s="27" t="s">
        <v>214</v>
      </c>
      <c r="F46" s="29" t="s">
        <v>23</v>
      </c>
      <c r="G46" s="20" t="s">
        <v>199</v>
      </c>
      <c r="H46" s="36" t="s">
        <v>215</v>
      </c>
      <c r="I46" s="37">
        <v>42597</v>
      </c>
      <c r="J46" s="37">
        <v>42601</v>
      </c>
      <c r="K46" s="22" t="s">
        <v>26</v>
      </c>
      <c r="L46" s="28">
        <v>7880</v>
      </c>
      <c r="M46" s="86"/>
      <c r="N46" s="41"/>
      <c r="O46" s="23">
        <v>35</v>
      </c>
      <c r="P46" s="23"/>
      <c r="Q46" s="23"/>
      <c r="R46" s="23">
        <f t="shared" si="0"/>
        <v>35</v>
      </c>
      <c r="S46" s="22">
        <v>20</v>
      </c>
      <c r="T46" s="20" t="s">
        <v>216</v>
      </c>
    </row>
    <row r="47" spans="1:20" ht="23.25" customHeight="1" x14ac:dyDescent="0.25">
      <c r="A47" s="21" t="s">
        <v>217</v>
      </c>
      <c r="B47" s="24">
        <v>2016</v>
      </c>
      <c r="C47" s="90" t="s">
        <v>21</v>
      </c>
      <c r="D47" s="24" t="s">
        <v>218</v>
      </c>
      <c r="E47" s="30" t="s">
        <v>219</v>
      </c>
      <c r="F47" s="31" t="s">
        <v>62</v>
      </c>
      <c r="G47" s="21" t="s">
        <v>72</v>
      </c>
      <c r="H47" s="38" t="s">
        <v>215</v>
      </c>
      <c r="I47" s="39">
        <v>42597</v>
      </c>
      <c r="J47" s="39">
        <v>42601</v>
      </c>
      <c r="K47" s="24" t="s">
        <v>220</v>
      </c>
      <c r="L47" s="26">
        <v>9556.7000000000007</v>
      </c>
      <c r="M47" s="87"/>
      <c r="N47" s="40"/>
      <c r="O47" s="25">
        <v>8</v>
      </c>
      <c r="P47" s="25">
        <v>63</v>
      </c>
      <c r="Q47" s="25"/>
      <c r="R47" s="25">
        <f t="shared" si="0"/>
        <v>71</v>
      </c>
      <c r="S47" s="24">
        <v>20</v>
      </c>
      <c r="T47" s="21" t="s">
        <v>221</v>
      </c>
    </row>
    <row r="48" spans="1:20" ht="23.25" customHeight="1" x14ac:dyDescent="0.25">
      <c r="A48" s="20" t="s">
        <v>222</v>
      </c>
      <c r="B48" s="22">
        <v>2016</v>
      </c>
      <c r="C48" s="90" t="s">
        <v>21</v>
      </c>
      <c r="D48" s="22" t="s">
        <v>223</v>
      </c>
      <c r="E48" s="27" t="s">
        <v>224</v>
      </c>
      <c r="F48" s="29" t="s">
        <v>225</v>
      </c>
      <c r="G48" s="20" t="s">
        <v>72</v>
      </c>
      <c r="H48" s="36" t="s">
        <v>226</v>
      </c>
      <c r="I48" s="37">
        <v>42613</v>
      </c>
      <c r="J48" s="37">
        <v>42614</v>
      </c>
      <c r="K48" s="22" t="s">
        <v>26</v>
      </c>
      <c r="L48" s="28">
        <v>44423.6</v>
      </c>
      <c r="M48" s="86"/>
      <c r="N48" s="41"/>
      <c r="O48" s="23">
        <v>87</v>
      </c>
      <c r="P48" s="23">
        <v>242</v>
      </c>
      <c r="Q48" s="23">
        <v>0</v>
      </c>
      <c r="R48" s="23">
        <f t="shared" si="0"/>
        <v>329</v>
      </c>
      <c r="S48" s="22">
        <v>8</v>
      </c>
      <c r="T48" s="20" t="s">
        <v>227</v>
      </c>
    </row>
    <row r="49" spans="1:20" ht="23.25" customHeight="1" x14ac:dyDescent="0.25">
      <c r="A49" s="21" t="s">
        <v>228</v>
      </c>
      <c r="B49" s="24">
        <v>2016</v>
      </c>
      <c r="C49" s="90" t="s">
        <v>21</v>
      </c>
      <c r="D49" s="24" t="s">
        <v>229</v>
      </c>
      <c r="E49" s="30" t="s">
        <v>230</v>
      </c>
      <c r="F49" s="31" t="s">
        <v>23</v>
      </c>
      <c r="G49" s="21" t="s">
        <v>38</v>
      </c>
      <c r="H49" s="38" t="s">
        <v>231</v>
      </c>
      <c r="I49" s="39">
        <v>42625</v>
      </c>
      <c r="J49" s="39">
        <v>42629</v>
      </c>
      <c r="K49" s="24" t="s">
        <v>26</v>
      </c>
      <c r="L49" s="26">
        <v>9200</v>
      </c>
      <c r="M49" s="87"/>
      <c r="N49" s="40"/>
      <c r="O49" s="25">
        <v>26</v>
      </c>
      <c r="P49" s="25"/>
      <c r="Q49" s="25"/>
      <c r="R49" s="25">
        <f t="shared" si="0"/>
        <v>26</v>
      </c>
      <c r="S49" s="24">
        <v>20</v>
      </c>
      <c r="T49" s="21" t="s">
        <v>232</v>
      </c>
    </row>
    <row r="50" spans="1:20" ht="23.25" customHeight="1" x14ac:dyDescent="0.25">
      <c r="A50" s="20" t="s">
        <v>233</v>
      </c>
      <c r="B50" s="22">
        <v>2016</v>
      </c>
      <c r="C50" s="90" t="s">
        <v>21</v>
      </c>
      <c r="D50" s="22" t="s">
        <v>234</v>
      </c>
      <c r="E50" s="27" t="s">
        <v>235</v>
      </c>
      <c r="F50" s="29" t="s">
        <v>23</v>
      </c>
      <c r="G50" s="20" t="s">
        <v>38</v>
      </c>
      <c r="H50" s="36" t="s">
        <v>236</v>
      </c>
      <c r="I50" s="37">
        <v>42632</v>
      </c>
      <c r="J50" s="37">
        <v>42636</v>
      </c>
      <c r="K50" s="22" t="s">
        <v>26</v>
      </c>
      <c r="L50" s="28">
        <v>5900</v>
      </c>
      <c r="M50" s="86"/>
      <c r="N50" s="41"/>
      <c r="O50" s="23">
        <v>35</v>
      </c>
      <c r="P50" s="23"/>
      <c r="Q50" s="23"/>
      <c r="R50" s="23">
        <f t="shared" si="0"/>
        <v>35</v>
      </c>
      <c r="S50" s="22">
        <v>20</v>
      </c>
      <c r="T50" s="20" t="s">
        <v>237</v>
      </c>
    </row>
    <row r="51" spans="1:20" ht="23.25" customHeight="1" x14ac:dyDescent="0.25">
      <c r="A51" s="21" t="s">
        <v>238</v>
      </c>
      <c r="B51" s="24">
        <v>2016</v>
      </c>
      <c r="C51" s="90" t="s">
        <v>21</v>
      </c>
      <c r="D51" s="24" t="s">
        <v>239</v>
      </c>
      <c r="E51" s="30" t="s">
        <v>240</v>
      </c>
      <c r="F51" s="31" t="s">
        <v>62</v>
      </c>
      <c r="G51" s="21" t="s">
        <v>72</v>
      </c>
      <c r="H51" s="38" t="s">
        <v>236</v>
      </c>
      <c r="I51" s="39">
        <v>42632</v>
      </c>
      <c r="J51" s="39">
        <v>42636</v>
      </c>
      <c r="K51" s="24" t="s">
        <v>35</v>
      </c>
      <c r="L51" s="26">
        <v>6671.48</v>
      </c>
      <c r="M51" s="87"/>
      <c r="N51" s="40"/>
      <c r="O51" s="25"/>
      <c r="P51" s="25">
        <v>46</v>
      </c>
      <c r="Q51" s="25"/>
      <c r="R51" s="25">
        <f t="shared" si="0"/>
        <v>46</v>
      </c>
      <c r="S51" s="24">
        <v>20</v>
      </c>
      <c r="T51" s="21" t="s">
        <v>113</v>
      </c>
    </row>
    <row r="52" spans="1:20" ht="23.25" customHeight="1" x14ac:dyDescent="0.25">
      <c r="A52" s="20" t="s">
        <v>241</v>
      </c>
      <c r="B52" s="22">
        <v>2016</v>
      </c>
      <c r="C52" s="90" t="s">
        <v>21</v>
      </c>
      <c r="D52" s="22" t="s">
        <v>239</v>
      </c>
      <c r="E52" s="27" t="s">
        <v>242</v>
      </c>
      <c r="F52" s="29" t="s">
        <v>62</v>
      </c>
      <c r="G52" s="20" t="s">
        <v>72</v>
      </c>
      <c r="H52" s="36" t="s">
        <v>236</v>
      </c>
      <c r="I52" s="37">
        <v>42632</v>
      </c>
      <c r="J52" s="37">
        <v>42636</v>
      </c>
      <c r="K52" s="22" t="s">
        <v>35</v>
      </c>
      <c r="L52" s="28">
        <v>6671.48</v>
      </c>
      <c r="M52" s="86"/>
      <c r="N52" s="41"/>
      <c r="O52" s="23"/>
      <c r="P52" s="23">
        <v>52</v>
      </c>
      <c r="Q52" s="23"/>
      <c r="R52" s="23">
        <f t="shared" si="0"/>
        <v>52</v>
      </c>
      <c r="S52" s="22">
        <v>20</v>
      </c>
      <c r="T52" s="20" t="s">
        <v>113</v>
      </c>
    </row>
    <row r="53" spans="1:20" ht="23.25" customHeight="1" x14ac:dyDescent="0.25">
      <c r="A53" s="21" t="s">
        <v>243</v>
      </c>
      <c r="B53" s="24">
        <v>2016</v>
      </c>
      <c r="C53" s="90" t="s">
        <v>21</v>
      </c>
      <c r="D53" s="24" t="s">
        <v>244</v>
      </c>
      <c r="E53" s="30" t="s">
        <v>245</v>
      </c>
      <c r="F53" s="31" t="s">
        <v>23</v>
      </c>
      <c r="G53" s="21" t="s">
        <v>199</v>
      </c>
      <c r="H53" s="38" t="s">
        <v>246</v>
      </c>
      <c r="I53" s="39">
        <v>42646</v>
      </c>
      <c r="J53" s="39">
        <v>42650</v>
      </c>
      <c r="K53" s="24" t="s">
        <v>35</v>
      </c>
      <c r="L53" s="26">
        <v>8088.22</v>
      </c>
      <c r="M53" s="87"/>
      <c r="N53" s="40"/>
      <c r="O53" s="25">
        <v>34</v>
      </c>
      <c r="P53" s="25"/>
      <c r="Q53" s="25"/>
      <c r="R53" s="25">
        <f t="shared" si="0"/>
        <v>34</v>
      </c>
      <c r="S53" s="24">
        <v>20</v>
      </c>
      <c r="T53" s="21" t="s">
        <v>247</v>
      </c>
    </row>
    <row r="54" spans="1:20" ht="23.25" customHeight="1" x14ac:dyDescent="0.25">
      <c r="A54" s="20" t="s">
        <v>248</v>
      </c>
      <c r="B54" s="22">
        <v>2016</v>
      </c>
      <c r="C54" s="90" t="s">
        <v>21</v>
      </c>
      <c r="D54" s="22" t="s">
        <v>249</v>
      </c>
      <c r="E54" s="27" t="s">
        <v>250</v>
      </c>
      <c r="F54" s="29" t="s">
        <v>23</v>
      </c>
      <c r="G54" s="20" t="s">
        <v>24</v>
      </c>
      <c r="H54" s="36" t="s">
        <v>251</v>
      </c>
      <c r="I54" s="37">
        <v>42660</v>
      </c>
      <c r="J54" s="37">
        <v>42662</v>
      </c>
      <c r="K54" s="22" t="s">
        <v>26</v>
      </c>
      <c r="L54" s="28">
        <v>54183.63</v>
      </c>
      <c r="M54" s="86"/>
      <c r="N54" s="41"/>
      <c r="O54" s="23">
        <v>27</v>
      </c>
      <c r="P54" s="23"/>
      <c r="Q54" s="23"/>
      <c r="R54" s="23">
        <f t="shared" si="0"/>
        <v>27</v>
      </c>
      <c r="S54" s="22">
        <v>15</v>
      </c>
      <c r="T54" s="20" t="s">
        <v>252</v>
      </c>
    </row>
    <row r="55" spans="1:20" ht="23.25" customHeight="1" x14ac:dyDescent="0.25">
      <c r="A55" s="21" t="s">
        <v>253</v>
      </c>
      <c r="B55" s="24">
        <v>2016</v>
      </c>
      <c r="C55" s="90" t="s">
        <v>21</v>
      </c>
      <c r="D55" s="24" t="s">
        <v>254</v>
      </c>
      <c r="E55" s="34" t="s">
        <v>255</v>
      </c>
      <c r="F55" s="31" t="s">
        <v>23</v>
      </c>
      <c r="G55" s="21" t="s">
        <v>38</v>
      </c>
      <c r="H55" s="38" t="s">
        <v>256</v>
      </c>
      <c r="I55" s="39">
        <v>42663</v>
      </c>
      <c r="J55" s="39">
        <v>42671</v>
      </c>
      <c r="K55" s="24" t="s">
        <v>26</v>
      </c>
      <c r="L55" s="26">
        <v>22500</v>
      </c>
      <c r="M55" s="87"/>
      <c r="N55" s="40"/>
      <c r="O55" s="25">
        <v>16</v>
      </c>
      <c r="P55" s="25"/>
      <c r="Q55" s="25"/>
      <c r="R55" s="25">
        <f t="shared" si="0"/>
        <v>16</v>
      </c>
      <c r="S55" s="24">
        <v>20</v>
      </c>
      <c r="T55" s="21" t="s">
        <v>163</v>
      </c>
    </row>
    <row r="56" spans="1:20" ht="23.25" customHeight="1" x14ac:dyDescent="0.25">
      <c r="A56" s="20" t="s">
        <v>257</v>
      </c>
      <c r="B56" s="22">
        <v>2016</v>
      </c>
      <c r="C56" s="90" t="s">
        <v>21</v>
      </c>
      <c r="D56" s="22" t="s">
        <v>258</v>
      </c>
      <c r="E56" s="27" t="s">
        <v>259</v>
      </c>
      <c r="F56" s="29" t="s">
        <v>62</v>
      </c>
      <c r="G56" s="20" t="s">
        <v>72</v>
      </c>
      <c r="H56" s="36" t="s">
        <v>260</v>
      </c>
      <c r="I56" s="37">
        <v>42667</v>
      </c>
      <c r="J56" s="37">
        <v>42669</v>
      </c>
      <c r="K56" s="22" t="s">
        <v>35</v>
      </c>
      <c r="L56" s="28">
        <v>4002.88</v>
      </c>
      <c r="M56" s="86"/>
      <c r="N56" s="41"/>
      <c r="O56" s="23"/>
      <c r="P56" s="23">
        <v>55</v>
      </c>
      <c r="Q56" s="23"/>
      <c r="R56" s="23">
        <f t="shared" si="0"/>
        <v>55</v>
      </c>
      <c r="S56" s="22">
        <v>12</v>
      </c>
      <c r="T56" s="20" t="s">
        <v>261</v>
      </c>
    </row>
    <row r="57" spans="1:20" ht="23.25" customHeight="1" x14ac:dyDescent="0.25">
      <c r="A57" s="21" t="s">
        <v>262</v>
      </c>
      <c r="B57" s="24">
        <v>2016</v>
      </c>
      <c r="C57" s="90" t="s">
        <v>21</v>
      </c>
      <c r="D57" s="24" t="s">
        <v>263</v>
      </c>
      <c r="E57" s="30" t="s">
        <v>264</v>
      </c>
      <c r="F57" s="31" t="s">
        <v>23</v>
      </c>
      <c r="G57" s="21" t="s">
        <v>33</v>
      </c>
      <c r="H57" s="38" t="s">
        <v>265</v>
      </c>
      <c r="I57" s="39">
        <v>42681</v>
      </c>
      <c r="J57" s="39">
        <v>42685</v>
      </c>
      <c r="K57" s="24" t="s">
        <v>35</v>
      </c>
      <c r="L57" s="26">
        <v>8088.22</v>
      </c>
      <c r="M57" s="87"/>
      <c r="N57" s="40"/>
      <c r="O57" s="25">
        <v>14</v>
      </c>
      <c r="P57" s="25"/>
      <c r="Q57" s="25"/>
      <c r="R57" s="25">
        <f t="shared" si="0"/>
        <v>14</v>
      </c>
      <c r="S57" s="24">
        <v>20</v>
      </c>
      <c r="T57" s="32" t="s">
        <v>211</v>
      </c>
    </row>
    <row r="58" spans="1:20" ht="23.25" customHeight="1" x14ac:dyDescent="0.25">
      <c r="A58" s="20" t="s">
        <v>266</v>
      </c>
      <c r="B58" s="22">
        <v>2016</v>
      </c>
      <c r="C58" s="90" t="s">
        <v>21</v>
      </c>
      <c r="D58" s="22" t="s">
        <v>267</v>
      </c>
      <c r="E58" s="27" t="s">
        <v>268</v>
      </c>
      <c r="F58" s="29" t="s">
        <v>62</v>
      </c>
      <c r="G58" s="20" t="s">
        <v>72</v>
      </c>
      <c r="H58" s="36" t="s">
        <v>265</v>
      </c>
      <c r="I58" s="37">
        <v>42681</v>
      </c>
      <c r="J58" s="37">
        <v>42685</v>
      </c>
      <c r="K58" s="22" t="s">
        <v>35</v>
      </c>
      <c r="L58" s="28">
        <v>6671.48</v>
      </c>
      <c r="M58" s="86"/>
      <c r="N58" s="41"/>
      <c r="O58" s="23"/>
      <c r="P58" s="23">
        <v>47</v>
      </c>
      <c r="Q58" s="23"/>
      <c r="R58" s="23">
        <f t="shared" si="0"/>
        <v>47</v>
      </c>
      <c r="S58" s="22">
        <v>20</v>
      </c>
      <c r="T58" s="20" t="s">
        <v>269</v>
      </c>
    </row>
    <row r="59" spans="1:20" ht="23.25" customHeight="1" x14ac:dyDescent="0.25">
      <c r="A59" s="21" t="s">
        <v>270</v>
      </c>
      <c r="B59" s="24">
        <v>2016</v>
      </c>
      <c r="C59" s="90" t="s">
        <v>21</v>
      </c>
      <c r="D59" s="24" t="s">
        <v>271</v>
      </c>
      <c r="E59" s="30" t="s">
        <v>272</v>
      </c>
      <c r="F59" s="31" t="s">
        <v>23</v>
      </c>
      <c r="G59" s="21" t="s">
        <v>199</v>
      </c>
      <c r="H59" s="38" t="s">
        <v>273</v>
      </c>
      <c r="I59" s="39">
        <v>42695</v>
      </c>
      <c r="J59" s="39">
        <v>42702</v>
      </c>
      <c r="K59" s="24" t="s">
        <v>26</v>
      </c>
      <c r="L59" s="26">
        <v>7880</v>
      </c>
      <c r="M59" s="87"/>
      <c r="N59" s="40"/>
      <c r="O59" s="25">
        <v>31</v>
      </c>
      <c r="P59" s="25"/>
      <c r="Q59" s="25"/>
      <c r="R59" s="25">
        <f t="shared" si="0"/>
        <v>31</v>
      </c>
      <c r="S59" s="24">
        <v>20</v>
      </c>
      <c r="T59" s="21" t="s">
        <v>274</v>
      </c>
    </row>
    <row r="60" spans="1:20" ht="23.25" customHeight="1" x14ac:dyDescent="0.25">
      <c r="A60" s="20" t="s">
        <v>275</v>
      </c>
      <c r="B60" s="22">
        <v>2016</v>
      </c>
      <c r="C60" s="90" t="s">
        <v>21</v>
      </c>
      <c r="D60" s="22" t="s">
        <v>276</v>
      </c>
      <c r="E60" s="27" t="s">
        <v>277</v>
      </c>
      <c r="F60" s="29" t="s">
        <v>62</v>
      </c>
      <c r="G60" s="20" t="s">
        <v>72</v>
      </c>
      <c r="H60" s="36" t="s">
        <v>278</v>
      </c>
      <c r="I60" s="37">
        <v>42695</v>
      </c>
      <c r="J60" s="37">
        <v>42699</v>
      </c>
      <c r="K60" s="22" t="s">
        <v>35</v>
      </c>
      <c r="L60" s="28">
        <v>5612</v>
      </c>
      <c r="M60" s="86"/>
      <c r="N60" s="41"/>
      <c r="O60" s="23"/>
      <c r="P60" s="23">
        <v>28</v>
      </c>
      <c r="Q60" s="23"/>
      <c r="R60" s="23">
        <f t="shared" si="0"/>
        <v>28</v>
      </c>
      <c r="S60" s="22">
        <v>20</v>
      </c>
      <c r="T60" s="20" t="s">
        <v>113</v>
      </c>
    </row>
    <row r="61" spans="1:20" ht="23.25" customHeight="1" x14ac:dyDescent="0.25">
      <c r="A61" s="21" t="s">
        <v>279</v>
      </c>
      <c r="B61" s="24">
        <v>2016</v>
      </c>
      <c r="C61" s="90" t="s">
        <v>21</v>
      </c>
      <c r="D61" s="24" t="s">
        <v>276</v>
      </c>
      <c r="E61" s="30" t="s">
        <v>280</v>
      </c>
      <c r="F61" s="31" t="s">
        <v>62</v>
      </c>
      <c r="G61" s="21" t="s">
        <v>72</v>
      </c>
      <c r="H61" s="38" t="s">
        <v>278</v>
      </c>
      <c r="I61" s="39">
        <v>42695</v>
      </c>
      <c r="J61" s="39">
        <v>42699</v>
      </c>
      <c r="K61" s="24" t="s">
        <v>35</v>
      </c>
      <c r="L61" s="26">
        <v>5612</v>
      </c>
      <c r="M61" s="87"/>
      <c r="N61" s="40"/>
      <c r="O61" s="25"/>
      <c r="P61" s="25">
        <v>34</v>
      </c>
      <c r="Q61" s="25"/>
      <c r="R61" s="25">
        <f t="shared" si="0"/>
        <v>34</v>
      </c>
      <c r="S61" s="24">
        <v>20</v>
      </c>
      <c r="T61" s="21" t="s">
        <v>113</v>
      </c>
    </row>
    <row r="62" spans="1:20" ht="23.25" customHeight="1" x14ac:dyDescent="0.25">
      <c r="A62" s="20" t="s">
        <v>281</v>
      </c>
      <c r="B62" s="22">
        <v>2016</v>
      </c>
      <c r="C62" s="90" t="s">
        <v>21</v>
      </c>
      <c r="D62" s="22" t="s">
        <v>282</v>
      </c>
      <c r="E62" s="27" t="s">
        <v>283</v>
      </c>
      <c r="F62" s="29" t="s">
        <v>62</v>
      </c>
      <c r="G62" s="20" t="s">
        <v>72</v>
      </c>
      <c r="H62" s="36" t="s">
        <v>284</v>
      </c>
      <c r="I62" s="37">
        <v>42709</v>
      </c>
      <c r="J62" s="37">
        <v>42711</v>
      </c>
      <c r="K62" s="22" t="s">
        <v>35</v>
      </c>
      <c r="L62" s="28">
        <v>8000</v>
      </c>
      <c r="M62" s="86"/>
      <c r="N62" s="41"/>
      <c r="O62" s="23"/>
      <c r="P62" s="23">
        <v>60</v>
      </c>
      <c r="Q62" s="23"/>
      <c r="R62" s="23">
        <f t="shared" si="0"/>
        <v>60</v>
      </c>
      <c r="S62" s="22">
        <v>20</v>
      </c>
      <c r="T62" s="20" t="s">
        <v>285</v>
      </c>
    </row>
    <row r="63" spans="1:20" ht="23.25" customHeight="1" x14ac:dyDescent="0.25">
      <c r="A63" s="21" t="s">
        <v>286</v>
      </c>
      <c r="B63" s="24">
        <v>2017</v>
      </c>
      <c r="C63" s="90" t="s">
        <v>21</v>
      </c>
      <c r="D63" s="24" t="s">
        <v>254</v>
      </c>
      <c r="E63" s="30" t="s">
        <v>287</v>
      </c>
      <c r="F63" s="31" t="s">
        <v>23</v>
      </c>
      <c r="G63" s="21" t="s">
        <v>38</v>
      </c>
      <c r="H63" s="38" t="s">
        <v>288</v>
      </c>
      <c r="I63" s="39">
        <v>42773</v>
      </c>
      <c r="J63" s="39">
        <v>42788</v>
      </c>
      <c r="K63" s="24" t="s">
        <v>26</v>
      </c>
      <c r="L63" s="26">
        <v>27300</v>
      </c>
      <c r="M63" s="87"/>
      <c r="N63" s="40"/>
      <c r="O63" s="25">
        <v>29</v>
      </c>
      <c r="P63" s="25"/>
      <c r="Q63" s="25"/>
      <c r="R63" s="25">
        <f t="shared" si="0"/>
        <v>29</v>
      </c>
      <c r="S63" s="24">
        <v>26</v>
      </c>
      <c r="T63" s="21" t="s">
        <v>289</v>
      </c>
    </row>
    <row r="64" spans="1:20" ht="23.25" customHeight="1" x14ac:dyDescent="0.25">
      <c r="A64" s="20" t="s">
        <v>290</v>
      </c>
      <c r="B64" s="22">
        <v>2017</v>
      </c>
      <c r="C64" s="90" t="s">
        <v>21</v>
      </c>
      <c r="D64" s="22" t="s">
        <v>254</v>
      </c>
      <c r="E64" s="27" t="s">
        <v>291</v>
      </c>
      <c r="F64" s="29" t="s">
        <v>23</v>
      </c>
      <c r="G64" s="20" t="s">
        <v>38</v>
      </c>
      <c r="H64" s="36" t="s">
        <v>292</v>
      </c>
      <c r="I64" s="37">
        <v>42800</v>
      </c>
      <c r="J64" s="37">
        <v>42825</v>
      </c>
      <c r="K64" s="22" t="s">
        <v>26</v>
      </c>
      <c r="L64" s="28">
        <v>54300</v>
      </c>
      <c r="M64" s="86"/>
      <c r="N64" s="41"/>
      <c r="O64" s="23">
        <v>26</v>
      </c>
      <c r="P64" s="23"/>
      <c r="Q64" s="23"/>
      <c r="R64" s="23">
        <f t="shared" si="0"/>
        <v>26</v>
      </c>
      <c r="S64" s="22">
        <v>30</v>
      </c>
      <c r="T64" s="20" t="s">
        <v>163</v>
      </c>
    </row>
    <row r="65" spans="1:20" ht="23.25" customHeight="1" x14ac:dyDescent="0.25">
      <c r="A65" s="21" t="s">
        <v>293</v>
      </c>
      <c r="B65" s="24">
        <v>2017</v>
      </c>
      <c r="C65" s="90" t="s">
        <v>21</v>
      </c>
      <c r="D65" s="24" t="s">
        <v>294</v>
      </c>
      <c r="E65" s="30" t="s">
        <v>295</v>
      </c>
      <c r="F65" s="31" t="s">
        <v>62</v>
      </c>
      <c r="G65" s="21" t="s">
        <v>72</v>
      </c>
      <c r="H65" s="38" t="s">
        <v>296</v>
      </c>
      <c r="I65" s="39">
        <v>42807</v>
      </c>
      <c r="J65" s="39">
        <v>42811</v>
      </c>
      <c r="K65" s="24" t="s">
        <v>35</v>
      </c>
      <c r="L65" s="26">
        <v>6962.15</v>
      </c>
      <c r="M65" s="87"/>
      <c r="N65" s="40"/>
      <c r="O65" s="25"/>
      <c r="P65" s="25">
        <v>47</v>
      </c>
      <c r="Q65" s="25"/>
      <c r="R65" s="25">
        <f t="shared" si="0"/>
        <v>47</v>
      </c>
      <c r="S65" s="24">
        <v>20</v>
      </c>
      <c r="T65" s="21" t="s">
        <v>113</v>
      </c>
    </row>
    <row r="66" spans="1:20" ht="23.25" customHeight="1" x14ac:dyDescent="0.25">
      <c r="A66" s="20" t="s">
        <v>297</v>
      </c>
      <c r="B66" s="22">
        <v>2017</v>
      </c>
      <c r="C66" s="90" t="s">
        <v>21</v>
      </c>
      <c r="D66" s="22" t="s">
        <v>298</v>
      </c>
      <c r="E66" s="27" t="s">
        <v>299</v>
      </c>
      <c r="F66" s="29" t="s">
        <v>23</v>
      </c>
      <c r="G66" s="20" t="s">
        <v>33</v>
      </c>
      <c r="H66" s="36" t="s">
        <v>300</v>
      </c>
      <c r="I66" s="37">
        <v>42814</v>
      </c>
      <c r="J66" s="37">
        <v>42818</v>
      </c>
      <c r="K66" s="22" t="s">
        <v>35</v>
      </c>
      <c r="L66" s="28">
        <v>7466.41</v>
      </c>
      <c r="M66" s="86"/>
      <c r="N66" s="41"/>
      <c r="O66" s="23">
        <v>20</v>
      </c>
      <c r="P66" s="23"/>
      <c r="Q66" s="23"/>
      <c r="R66" s="23">
        <f t="shared" ref="R66:R129" si="1">SUM(O66:Q66)</f>
        <v>20</v>
      </c>
      <c r="S66" s="22">
        <v>20</v>
      </c>
      <c r="T66" s="33" t="s">
        <v>211</v>
      </c>
    </row>
    <row r="67" spans="1:20" ht="23.25" customHeight="1" x14ac:dyDescent="0.25">
      <c r="A67" s="21" t="s">
        <v>301</v>
      </c>
      <c r="B67" s="24">
        <v>2017</v>
      </c>
      <c r="C67" s="90" t="s">
        <v>21</v>
      </c>
      <c r="D67" s="24" t="s">
        <v>302</v>
      </c>
      <c r="E67" s="30" t="s">
        <v>303</v>
      </c>
      <c r="F67" s="31" t="s">
        <v>62</v>
      </c>
      <c r="G67" s="21" t="s">
        <v>72</v>
      </c>
      <c r="H67" s="38" t="s">
        <v>304</v>
      </c>
      <c r="I67" s="39">
        <v>42821</v>
      </c>
      <c r="J67" s="39">
        <v>42825</v>
      </c>
      <c r="K67" s="24" t="s">
        <v>35</v>
      </c>
      <c r="L67" s="26">
        <v>6962.15</v>
      </c>
      <c r="M67" s="87"/>
      <c r="N67" s="40"/>
      <c r="O67" s="25"/>
      <c r="P67" s="25">
        <v>43</v>
      </c>
      <c r="Q67" s="25"/>
      <c r="R67" s="25">
        <f t="shared" si="1"/>
        <v>43</v>
      </c>
      <c r="S67" s="24">
        <v>20</v>
      </c>
      <c r="T67" s="21" t="s">
        <v>74</v>
      </c>
    </row>
    <row r="68" spans="1:20" ht="23.25" customHeight="1" x14ac:dyDescent="0.25">
      <c r="A68" s="20" t="s">
        <v>305</v>
      </c>
      <c r="B68" s="22">
        <v>2017</v>
      </c>
      <c r="C68" s="90" t="s">
        <v>21</v>
      </c>
      <c r="D68" s="22" t="s">
        <v>306</v>
      </c>
      <c r="E68" s="27" t="s">
        <v>307</v>
      </c>
      <c r="F68" s="29" t="s">
        <v>23</v>
      </c>
      <c r="G68" s="20" t="s">
        <v>199</v>
      </c>
      <c r="H68" s="36" t="s">
        <v>304</v>
      </c>
      <c r="I68" s="37">
        <v>42821</v>
      </c>
      <c r="J68" s="37">
        <v>42825</v>
      </c>
      <c r="K68" s="22" t="s">
        <v>35</v>
      </c>
      <c r="L68" s="28">
        <v>7241.74</v>
      </c>
      <c r="M68" s="86"/>
      <c r="N68" s="41"/>
      <c r="O68" s="23">
        <v>15</v>
      </c>
      <c r="P68" s="23"/>
      <c r="Q68" s="23"/>
      <c r="R68" s="23">
        <f t="shared" si="1"/>
        <v>15</v>
      </c>
      <c r="S68" s="22">
        <v>20</v>
      </c>
      <c r="T68" s="20" t="s">
        <v>247</v>
      </c>
    </row>
    <row r="69" spans="1:20" ht="23.25" customHeight="1" x14ac:dyDescent="0.25">
      <c r="A69" s="21" t="s">
        <v>308</v>
      </c>
      <c r="B69" s="24">
        <v>2017</v>
      </c>
      <c r="C69" s="90" t="s">
        <v>21</v>
      </c>
      <c r="D69" s="24" t="s">
        <v>309</v>
      </c>
      <c r="E69" s="30" t="s">
        <v>310</v>
      </c>
      <c r="F69" s="31" t="s">
        <v>23</v>
      </c>
      <c r="G69" s="21" t="s">
        <v>68</v>
      </c>
      <c r="H69" s="38" t="s">
        <v>311</v>
      </c>
      <c r="I69" s="39">
        <v>42828</v>
      </c>
      <c r="J69" s="39">
        <v>42832</v>
      </c>
      <c r="K69" s="24" t="s">
        <v>26</v>
      </c>
      <c r="L69" s="26">
        <v>7950</v>
      </c>
      <c r="M69" s="87"/>
      <c r="N69" s="40"/>
      <c r="O69" s="25">
        <v>29</v>
      </c>
      <c r="P69" s="25"/>
      <c r="Q69" s="25"/>
      <c r="R69" s="25">
        <f t="shared" si="1"/>
        <v>29</v>
      </c>
      <c r="S69" s="24">
        <v>20</v>
      </c>
      <c r="T69" s="21" t="s">
        <v>312</v>
      </c>
    </row>
    <row r="70" spans="1:20" ht="23.25" customHeight="1" x14ac:dyDescent="0.25">
      <c r="A70" s="20" t="s">
        <v>313</v>
      </c>
      <c r="B70" s="22">
        <v>2017</v>
      </c>
      <c r="C70" s="90" t="s">
        <v>21</v>
      </c>
      <c r="D70" s="22" t="s">
        <v>294</v>
      </c>
      <c r="E70" s="27" t="s">
        <v>314</v>
      </c>
      <c r="F70" s="29" t="s">
        <v>62</v>
      </c>
      <c r="G70" s="20" t="s">
        <v>72</v>
      </c>
      <c r="H70" s="36" t="s">
        <v>315</v>
      </c>
      <c r="I70" s="37">
        <v>42849</v>
      </c>
      <c r="J70" s="37">
        <v>42853</v>
      </c>
      <c r="K70" s="22" t="s">
        <v>35</v>
      </c>
      <c r="L70" s="28">
        <v>6962.15</v>
      </c>
      <c r="M70" s="86"/>
      <c r="N70" s="41"/>
      <c r="O70" s="23"/>
      <c r="P70" s="23">
        <v>46</v>
      </c>
      <c r="Q70" s="23"/>
      <c r="R70" s="23">
        <f t="shared" si="1"/>
        <v>46</v>
      </c>
      <c r="S70" s="22">
        <v>20</v>
      </c>
      <c r="T70" s="20" t="s">
        <v>113</v>
      </c>
    </row>
    <row r="71" spans="1:20" ht="23.25" customHeight="1" x14ac:dyDescent="0.25">
      <c r="A71" s="21" t="s">
        <v>316</v>
      </c>
      <c r="B71" s="24">
        <v>2017</v>
      </c>
      <c r="C71" s="90" t="s">
        <v>21</v>
      </c>
      <c r="D71" s="24" t="s">
        <v>317</v>
      </c>
      <c r="E71" s="30" t="s">
        <v>318</v>
      </c>
      <c r="F71" s="31" t="s">
        <v>23</v>
      </c>
      <c r="G71" s="21" t="s">
        <v>82</v>
      </c>
      <c r="H71" s="38" t="s">
        <v>83</v>
      </c>
      <c r="I71" s="39">
        <v>42860</v>
      </c>
      <c r="J71" s="39">
        <v>42860</v>
      </c>
      <c r="K71" s="24" t="s">
        <v>26</v>
      </c>
      <c r="L71" s="26">
        <v>27300</v>
      </c>
      <c r="M71" s="87"/>
      <c r="N71" s="40"/>
      <c r="O71" s="25">
        <v>14</v>
      </c>
      <c r="P71" s="25"/>
      <c r="Q71" s="25"/>
      <c r="R71" s="25">
        <f t="shared" si="1"/>
        <v>14</v>
      </c>
      <c r="S71" s="24">
        <v>26</v>
      </c>
      <c r="T71" s="21" t="s">
        <v>319</v>
      </c>
    </row>
    <row r="72" spans="1:20" ht="23.25" customHeight="1" x14ac:dyDescent="0.25">
      <c r="A72" s="20" t="s">
        <v>320</v>
      </c>
      <c r="B72" s="22">
        <v>2017</v>
      </c>
      <c r="C72" s="90" t="s">
        <v>21</v>
      </c>
      <c r="D72" s="22" t="s">
        <v>321</v>
      </c>
      <c r="E72" s="27" t="s">
        <v>322</v>
      </c>
      <c r="F72" s="29" t="s">
        <v>23</v>
      </c>
      <c r="G72" s="20" t="s">
        <v>82</v>
      </c>
      <c r="H72" s="36" t="s">
        <v>83</v>
      </c>
      <c r="I72" s="37">
        <v>42860</v>
      </c>
      <c r="J72" s="37">
        <v>42860</v>
      </c>
      <c r="K72" s="22" t="s">
        <v>26</v>
      </c>
      <c r="L72" s="28">
        <v>0</v>
      </c>
      <c r="M72" s="86"/>
      <c r="N72" s="41"/>
      <c r="O72" s="23">
        <v>12</v>
      </c>
      <c r="P72" s="23"/>
      <c r="Q72" s="23"/>
      <c r="R72" s="23">
        <f t="shared" si="1"/>
        <v>12</v>
      </c>
      <c r="S72" s="22">
        <v>8</v>
      </c>
      <c r="T72" s="20" t="s">
        <v>157</v>
      </c>
    </row>
    <row r="73" spans="1:20" ht="23.25" customHeight="1" x14ac:dyDescent="0.25">
      <c r="A73" s="21" t="s">
        <v>323</v>
      </c>
      <c r="B73" s="24">
        <v>2017</v>
      </c>
      <c r="C73" s="90" t="s">
        <v>21</v>
      </c>
      <c r="D73" s="24" t="s">
        <v>324</v>
      </c>
      <c r="E73" s="30" t="s">
        <v>325</v>
      </c>
      <c r="F73" s="31" t="s">
        <v>23</v>
      </c>
      <c r="G73" s="21" t="s">
        <v>33</v>
      </c>
      <c r="H73" s="38" t="s">
        <v>326</v>
      </c>
      <c r="I73" s="39">
        <v>42863</v>
      </c>
      <c r="J73" s="39">
        <v>42867</v>
      </c>
      <c r="K73" s="24" t="s">
        <v>35</v>
      </c>
      <c r="L73" s="26">
        <v>7241.74</v>
      </c>
      <c r="M73" s="87"/>
      <c r="N73" s="40"/>
      <c r="O73" s="25">
        <v>18</v>
      </c>
      <c r="P73" s="25"/>
      <c r="Q73" s="25"/>
      <c r="R73" s="25">
        <f t="shared" si="1"/>
        <v>18</v>
      </c>
      <c r="S73" s="24">
        <v>20</v>
      </c>
      <c r="T73" s="32" t="s">
        <v>211</v>
      </c>
    </row>
    <row r="74" spans="1:20" ht="23.25" customHeight="1" x14ac:dyDescent="0.25">
      <c r="A74" s="20" t="s">
        <v>327</v>
      </c>
      <c r="B74" s="22">
        <v>2017</v>
      </c>
      <c r="C74" s="90" t="s">
        <v>21</v>
      </c>
      <c r="D74" s="22" t="s">
        <v>328</v>
      </c>
      <c r="E74" s="27" t="s">
        <v>329</v>
      </c>
      <c r="F74" s="29" t="s">
        <v>23</v>
      </c>
      <c r="G74" s="20" t="s">
        <v>24</v>
      </c>
      <c r="H74" s="36" t="s">
        <v>330</v>
      </c>
      <c r="I74" s="37">
        <v>42870</v>
      </c>
      <c r="J74" s="37">
        <v>42874</v>
      </c>
      <c r="K74" s="22" t="s">
        <v>26</v>
      </c>
      <c r="L74" s="28">
        <v>33600</v>
      </c>
      <c r="M74" s="86"/>
      <c r="N74" s="41"/>
      <c r="O74" s="23">
        <v>30</v>
      </c>
      <c r="P74" s="23"/>
      <c r="Q74" s="23"/>
      <c r="R74" s="23">
        <f t="shared" si="1"/>
        <v>30</v>
      </c>
      <c r="S74" s="22">
        <v>20</v>
      </c>
      <c r="T74" s="20" t="s">
        <v>88</v>
      </c>
    </row>
    <row r="75" spans="1:20" ht="23.25" customHeight="1" x14ac:dyDescent="0.25">
      <c r="A75" s="21" t="s">
        <v>331</v>
      </c>
      <c r="B75" s="24">
        <v>2017</v>
      </c>
      <c r="C75" s="90" t="s">
        <v>21</v>
      </c>
      <c r="D75" s="24" t="s">
        <v>332</v>
      </c>
      <c r="E75" s="30" t="s">
        <v>333</v>
      </c>
      <c r="F75" s="31" t="s">
        <v>81</v>
      </c>
      <c r="G75" s="21" t="s">
        <v>72</v>
      </c>
      <c r="H75" s="38" t="s">
        <v>334</v>
      </c>
      <c r="I75" s="39">
        <v>42877</v>
      </c>
      <c r="J75" s="39">
        <v>42881</v>
      </c>
      <c r="K75" s="24" t="s">
        <v>35</v>
      </c>
      <c r="L75" s="26">
        <v>0</v>
      </c>
      <c r="M75" s="87"/>
      <c r="N75" s="40"/>
      <c r="O75" s="25"/>
      <c r="P75" s="25"/>
      <c r="Q75" s="25">
        <v>37</v>
      </c>
      <c r="R75" s="25">
        <f t="shared" si="1"/>
        <v>37</v>
      </c>
      <c r="S75" s="24">
        <v>20</v>
      </c>
      <c r="T75" s="21" t="s">
        <v>335</v>
      </c>
    </row>
    <row r="76" spans="1:20" ht="23.25" customHeight="1" x14ac:dyDescent="0.25">
      <c r="A76" s="20" t="s">
        <v>336</v>
      </c>
      <c r="B76" s="22">
        <v>2017</v>
      </c>
      <c r="C76" s="90" t="s">
        <v>21</v>
      </c>
      <c r="D76" s="22" t="s">
        <v>337</v>
      </c>
      <c r="E76" s="27" t="s">
        <v>338</v>
      </c>
      <c r="F76" s="29" t="s">
        <v>62</v>
      </c>
      <c r="G76" s="20" t="s">
        <v>72</v>
      </c>
      <c r="H76" s="36" t="s">
        <v>334</v>
      </c>
      <c r="I76" s="37">
        <v>42877</v>
      </c>
      <c r="J76" s="37">
        <v>42881</v>
      </c>
      <c r="K76" s="22" t="s">
        <v>35</v>
      </c>
      <c r="L76" s="28">
        <v>6962.15</v>
      </c>
      <c r="M76" s="86"/>
      <c r="N76" s="41"/>
      <c r="O76" s="23"/>
      <c r="P76" s="23">
        <v>47</v>
      </c>
      <c r="Q76" s="23"/>
      <c r="R76" s="23">
        <f t="shared" si="1"/>
        <v>47</v>
      </c>
      <c r="S76" s="22">
        <v>20</v>
      </c>
      <c r="T76" s="20" t="s">
        <v>269</v>
      </c>
    </row>
    <row r="77" spans="1:20" ht="23.25" customHeight="1" x14ac:dyDescent="0.25">
      <c r="A77" s="21" t="s">
        <v>339</v>
      </c>
      <c r="B77" s="24">
        <v>2017</v>
      </c>
      <c r="C77" s="90" t="s">
        <v>21</v>
      </c>
      <c r="D77" s="24" t="s">
        <v>340</v>
      </c>
      <c r="E77" s="30" t="s">
        <v>341</v>
      </c>
      <c r="F77" s="31" t="s">
        <v>23</v>
      </c>
      <c r="G77" s="21" t="s">
        <v>24</v>
      </c>
      <c r="H77" s="38" t="s">
        <v>342</v>
      </c>
      <c r="I77" s="39">
        <v>42880</v>
      </c>
      <c r="J77" s="39">
        <v>42881</v>
      </c>
      <c r="K77" s="24" t="s">
        <v>26</v>
      </c>
      <c r="L77" s="26">
        <v>8000</v>
      </c>
      <c r="M77" s="87"/>
      <c r="N77" s="40"/>
      <c r="O77" s="25">
        <v>30</v>
      </c>
      <c r="P77" s="25"/>
      <c r="Q77" s="25"/>
      <c r="R77" s="25">
        <f t="shared" si="1"/>
        <v>30</v>
      </c>
      <c r="S77" s="24">
        <v>16</v>
      </c>
      <c r="T77" s="21" t="s">
        <v>343</v>
      </c>
    </row>
    <row r="78" spans="1:20" ht="23.25" customHeight="1" x14ac:dyDescent="0.25">
      <c r="A78" s="20" t="s">
        <v>344</v>
      </c>
      <c r="B78" s="22">
        <v>2017</v>
      </c>
      <c r="C78" s="90" t="s">
        <v>21</v>
      </c>
      <c r="D78" s="22" t="s">
        <v>345</v>
      </c>
      <c r="E78" s="27" t="s">
        <v>346</v>
      </c>
      <c r="F78" s="29" t="s">
        <v>23</v>
      </c>
      <c r="G78" s="20" t="s">
        <v>199</v>
      </c>
      <c r="H78" s="36" t="s">
        <v>347</v>
      </c>
      <c r="I78" s="37">
        <v>42880</v>
      </c>
      <c r="J78" s="37">
        <v>42881</v>
      </c>
      <c r="K78" s="22" t="s">
        <v>26</v>
      </c>
      <c r="L78" s="28">
        <v>7880</v>
      </c>
      <c r="M78" s="86"/>
      <c r="N78" s="41"/>
      <c r="O78" s="23">
        <v>19</v>
      </c>
      <c r="P78" s="23"/>
      <c r="Q78" s="23"/>
      <c r="R78" s="23">
        <f t="shared" si="1"/>
        <v>19</v>
      </c>
      <c r="S78" s="22">
        <v>20</v>
      </c>
      <c r="T78" s="20" t="s">
        <v>274</v>
      </c>
    </row>
    <row r="79" spans="1:20" ht="23.25" customHeight="1" x14ac:dyDescent="0.25">
      <c r="A79" s="21" t="s">
        <v>348</v>
      </c>
      <c r="B79" s="24">
        <v>2017</v>
      </c>
      <c r="C79" s="90" t="s">
        <v>21</v>
      </c>
      <c r="D79" s="24" t="s">
        <v>349</v>
      </c>
      <c r="E79" s="30" t="s">
        <v>350</v>
      </c>
      <c r="F79" s="31" t="s">
        <v>62</v>
      </c>
      <c r="G79" s="21" t="s">
        <v>72</v>
      </c>
      <c r="H79" s="38" t="s">
        <v>351</v>
      </c>
      <c r="I79" s="39">
        <v>42881</v>
      </c>
      <c r="J79" s="39">
        <v>42884</v>
      </c>
      <c r="K79" s="24" t="s">
        <v>35</v>
      </c>
      <c r="L79" s="26">
        <v>5569.72</v>
      </c>
      <c r="M79" s="87"/>
      <c r="N79" s="40"/>
      <c r="O79" s="25"/>
      <c r="P79" s="25">
        <v>37</v>
      </c>
      <c r="Q79" s="25"/>
      <c r="R79" s="25">
        <f t="shared" si="1"/>
        <v>37</v>
      </c>
      <c r="S79" s="24">
        <v>16</v>
      </c>
      <c r="T79" s="21" t="s">
        <v>352</v>
      </c>
    </row>
    <row r="80" spans="1:20" ht="23.25" customHeight="1" x14ac:dyDescent="0.25">
      <c r="A80" s="20" t="s">
        <v>353</v>
      </c>
      <c r="B80" s="22">
        <v>2017</v>
      </c>
      <c r="C80" s="90" t="s">
        <v>21</v>
      </c>
      <c r="D80" s="22" t="s">
        <v>345</v>
      </c>
      <c r="E80" s="27" t="s">
        <v>354</v>
      </c>
      <c r="F80" s="29" t="s">
        <v>23</v>
      </c>
      <c r="G80" s="20" t="s">
        <v>199</v>
      </c>
      <c r="H80" s="36" t="s">
        <v>355</v>
      </c>
      <c r="I80" s="37">
        <v>42891</v>
      </c>
      <c r="J80" s="37">
        <v>42895</v>
      </c>
      <c r="K80" s="22" t="s">
        <v>26</v>
      </c>
      <c r="L80" s="28">
        <v>7880</v>
      </c>
      <c r="M80" s="86"/>
      <c r="N80" s="41"/>
      <c r="O80" s="23">
        <v>19</v>
      </c>
      <c r="P80" s="23"/>
      <c r="Q80" s="23"/>
      <c r="R80" s="23">
        <f t="shared" si="1"/>
        <v>19</v>
      </c>
      <c r="S80" s="22">
        <v>20</v>
      </c>
      <c r="T80" s="20" t="s">
        <v>274</v>
      </c>
    </row>
    <row r="81" spans="1:20" ht="23.25" customHeight="1" x14ac:dyDescent="0.25">
      <c r="A81" s="21" t="s">
        <v>356</v>
      </c>
      <c r="B81" s="24">
        <v>2017</v>
      </c>
      <c r="C81" s="90" t="s">
        <v>21</v>
      </c>
      <c r="D81" s="24" t="s">
        <v>357</v>
      </c>
      <c r="E81" s="30" t="s">
        <v>358</v>
      </c>
      <c r="F81" s="31" t="s">
        <v>23</v>
      </c>
      <c r="G81" s="21" t="s">
        <v>33</v>
      </c>
      <c r="H81" s="38" t="s">
        <v>359</v>
      </c>
      <c r="I81" s="39">
        <v>42905</v>
      </c>
      <c r="J81" s="39">
        <v>42909</v>
      </c>
      <c r="K81" s="24" t="s">
        <v>35</v>
      </c>
      <c r="L81" s="26">
        <v>8547.4</v>
      </c>
      <c r="M81" s="87"/>
      <c r="N81" s="40"/>
      <c r="O81" s="25">
        <v>20</v>
      </c>
      <c r="P81" s="25"/>
      <c r="Q81" s="25"/>
      <c r="R81" s="25">
        <f t="shared" si="1"/>
        <v>20</v>
      </c>
      <c r="S81" s="24">
        <v>20</v>
      </c>
      <c r="T81" s="21" t="s">
        <v>360</v>
      </c>
    </row>
    <row r="82" spans="1:20" ht="23.25" customHeight="1" x14ac:dyDescent="0.25">
      <c r="A82" s="20" t="s">
        <v>361</v>
      </c>
      <c r="B82" s="22">
        <v>2017</v>
      </c>
      <c r="C82" s="90" t="s">
        <v>21</v>
      </c>
      <c r="D82" s="22" t="s">
        <v>362</v>
      </c>
      <c r="E82" s="27" t="s">
        <v>363</v>
      </c>
      <c r="F82" s="29" t="s">
        <v>23</v>
      </c>
      <c r="G82" s="20" t="s">
        <v>364</v>
      </c>
      <c r="H82" s="36" t="s">
        <v>365</v>
      </c>
      <c r="I82" s="37">
        <v>42909</v>
      </c>
      <c r="J82" s="37">
        <v>42963</v>
      </c>
      <c r="K82" s="22" t="s">
        <v>35</v>
      </c>
      <c r="L82" s="28">
        <v>11567.86</v>
      </c>
      <c r="M82" s="86"/>
      <c r="N82" s="41"/>
      <c r="O82" s="23">
        <v>50</v>
      </c>
      <c r="P82" s="23"/>
      <c r="Q82" s="23"/>
      <c r="R82" s="23">
        <f t="shared" si="1"/>
        <v>50</v>
      </c>
      <c r="S82" s="22">
        <v>20</v>
      </c>
      <c r="T82" s="20" t="s">
        <v>366</v>
      </c>
    </row>
    <row r="83" spans="1:20" ht="23.25" customHeight="1" x14ac:dyDescent="0.25">
      <c r="A83" s="21" t="s">
        <v>367</v>
      </c>
      <c r="B83" s="24">
        <v>2017</v>
      </c>
      <c r="C83" s="90" t="s">
        <v>21</v>
      </c>
      <c r="D83" s="24" t="s">
        <v>368</v>
      </c>
      <c r="E83" s="30" t="s">
        <v>230</v>
      </c>
      <c r="F83" s="31" t="s">
        <v>23</v>
      </c>
      <c r="G83" s="21" t="s">
        <v>38</v>
      </c>
      <c r="H83" s="38" t="s">
        <v>369</v>
      </c>
      <c r="I83" s="39">
        <v>42912</v>
      </c>
      <c r="J83" s="39">
        <v>42916</v>
      </c>
      <c r="K83" s="24" t="s">
        <v>26</v>
      </c>
      <c r="L83" s="26">
        <v>9780</v>
      </c>
      <c r="M83" s="87"/>
      <c r="N83" s="40"/>
      <c r="O83" s="25">
        <v>17</v>
      </c>
      <c r="P83" s="25"/>
      <c r="Q83" s="25"/>
      <c r="R83" s="25">
        <f t="shared" si="1"/>
        <v>17</v>
      </c>
      <c r="S83" s="24">
        <v>20</v>
      </c>
      <c r="T83" s="21" t="s">
        <v>232</v>
      </c>
    </row>
    <row r="84" spans="1:20" ht="23.25" customHeight="1" x14ac:dyDescent="0.25">
      <c r="A84" s="20" t="s">
        <v>370</v>
      </c>
      <c r="B84" s="22">
        <v>2017</v>
      </c>
      <c r="C84" s="90" t="s">
        <v>21</v>
      </c>
      <c r="D84" s="22" t="s">
        <v>371</v>
      </c>
      <c r="E84" s="27" t="s">
        <v>372</v>
      </c>
      <c r="F84" s="29" t="s">
        <v>62</v>
      </c>
      <c r="G84" s="20" t="s">
        <v>72</v>
      </c>
      <c r="H84" s="36" t="s">
        <v>369</v>
      </c>
      <c r="I84" s="37">
        <v>42912</v>
      </c>
      <c r="J84" s="37">
        <v>42916</v>
      </c>
      <c r="K84" s="22" t="s">
        <v>35</v>
      </c>
      <c r="L84" s="28">
        <v>6962.15</v>
      </c>
      <c r="M84" s="86"/>
      <c r="N84" s="41"/>
      <c r="O84" s="23"/>
      <c r="P84" s="23">
        <v>25</v>
      </c>
      <c r="Q84" s="23"/>
      <c r="R84" s="23">
        <f t="shared" si="1"/>
        <v>25</v>
      </c>
      <c r="S84" s="22">
        <v>20</v>
      </c>
      <c r="T84" s="20" t="s">
        <v>74</v>
      </c>
    </row>
    <row r="85" spans="1:20" ht="23.25" customHeight="1" x14ac:dyDescent="0.25">
      <c r="A85" s="21" t="s">
        <v>373</v>
      </c>
      <c r="B85" s="24">
        <v>2017</v>
      </c>
      <c r="C85" s="90" t="s">
        <v>21</v>
      </c>
      <c r="D85" s="24" t="s">
        <v>374</v>
      </c>
      <c r="E85" s="30" t="s">
        <v>184</v>
      </c>
      <c r="F85" s="31" t="s">
        <v>81</v>
      </c>
      <c r="G85" s="21" t="s">
        <v>72</v>
      </c>
      <c r="H85" s="38" t="s">
        <v>375</v>
      </c>
      <c r="I85" s="39">
        <v>42919</v>
      </c>
      <c r="J85" s="39">
        <v>42923</v>
      </c>
      <c r="K85" s="24" t="s">
        <v>35</v>
      </c>
      <c r="L85" s="26">
        <v>7231.26</v>
      </c>
      <c r="M85" s="87"/>
      <c r="N85" s="40"/>
      <c r="O85" s="25"/>
      <c r="P85" s="25"/>
      <c r="Q85" s="25">
        <v>49</v>
      </c>
      <c r="R85" s="25">
        <f t="shared" si="1"/>
        <v>49</v>
      </c>
      <c r="S85" s="24">
        <v>20</v>
      </c>
      <c r="T85" s="21" t="s">
        <v>140</v>
      </c>
    </row>
    <row r="86" spans="1:20" ht="23.25" customHeight="1" x14ac:dyDescent="0.25">
      <c r="A86" s="20" t="s">
        <v>376</v>
      </c>
      <c r="B86" s="22">
        <v>2017</v>
      </c>
      <c r="C86" s="90" t="s">
        <v>21</v>
      </c>
      <c r="D86" s="22" t="s">
        <v>377</v>
      </c>
      <c r="E86" s="27" t="s">
        <v>378</v>
      </c>
      <c r="F86" s="29" t="s">
        <v>62</v>
      </c>
      <c r="G86" s="20" t="s">
        <v>72</v>
      </c>
      <c r="H86" s="36" t="s">
        <v>379</v>
      </c>
      <c r="I86" s="37">
        <v>42940</v>
      </c>
      <c r="J86" s="37">
        <v>42944</v>
      </c>
      <c r="K86" s="22" t="s">
        <v>35</v>
      </c>
      <c r="L86" s="28">
        <v>6008.6</v>
      </c>
      <c r="M86" s="86"/>
      <c r="N86" s="41"/>
      <c r="O86" s="23"/>
      <c r="P86" s="23">
        <v>34</v>
      </c>
      <c r="Q86" s="23"/>
      <c r="R86" s="23">
        <f t="shared" si="1"/>
        <v>34</v>
      </c>
      <c r="S86" s="22">
        <v>20</v>
      </c>
      <c r="T86" s="20" t="s">
        <v>74</v>
      </c>
    </row>
    <row r="87" spans="1:20" ht="23.25" customHeight="1" x14ac:dyDescent="0.25">
      <c r="A87" s="21" t="s">
        <v>380</v>
      </c>
      <c r="B87" s="24">
        <v>2017</v>
      </c>
      <c r="C87" s="90" t="s">
        <v>21</v>
      </c>
      <c r="D87" s="24" t="s">
        <v>381</v>
      </c>
      <c r="E87" s="30" t="s">
        <v>382</v>
      </c>
      <c r="F87" s="31" t="s">
        <v>23</v>
      </c>
      <c r="G87" s="21" t="s">
        <v>33</v>
      </c>
      <c r="H87" s="38" t="s">
        <v>383</v>
      </c>
      <c r="I87" s="39">
        <v>42968</v>
      </c>
      <c r="J87" s="39">
        <v>42972</v>
      </c>
      <c r="K87" s="24" t="s">
        <v>35</v>
      </c>
      <c r="L87" s="26">
        <v>7603.8</v>
      </c>
      <c r="M87" s="87"/>
      <c r="N87" s="40"/>
      <c r="O87" s="25">
        <v>19</v>
      </c>
      <c r="P87" s="25"/>
      <c r="Q87" s="25"/>
      <c r="R87" s="25">
        <f t="shared" si="1"/>
        <v>19</v>
      </c>
      <c r="S87" s="24">
        <v>20</v>
      </c>
      <c r="T87" s="32" t="s">
        <v>211</v>
      </c>
    </row>
    <row r="88" spans="1:20" ht="23.25" customHeight="1" x14ac:dyDescent="0.25">
      <c r="A88" s="20" t="s">
        <v>384</v>
      </c>
      <c r="B88" s="22">
        <v>2017</v>
      </c>
      <c r="C88" s="90" t="s">
        <v>21</v>
      </c>
      <c r="D88" s="22" t="s">
        <v>385</v>
      </c>
      <c r="E88" s="27" t="s">
        <v>386</v>
      </c>
      <c r="F88" s="29" t="s">
        <v>62</v>
      </c>
      <c r="G88" s="20" t="s">
        <v>72</v>
      </c>
      <c r="H88" s="36" t="s">
        <v>387</v>
      </c>
      <c r="I88" s="37">
        <v>42976</v>
      </c>
      <c r="J88" s="37">
        <v>42977</v>
      </c>
      <c r="K88" s="22" t="s">
        <v>26</v>
      </c>
      <c r="L88" s="28">
        <v>40881.51</v>
      </c>
      <c r="M88" s="86"/>
      <c r="N88" s="41"/>
      <c r="O88" s="23">
        <v>100</v>
      </c>
      <c r="P88" s="23">
        <v>212</v>
      </c>
      <c r="Q88" s="23">
        <v>0</v>
      </c>
      <c r="R88" s="23">
        <f t="shared" si="1"/>
        <v>312</v>
      </c>
      <c r="S88" s="22">
        <v>8</v>
      </c>
      <c r="T88" s="20" t="s">
        <v>388</v>
      </c>
    </row>
    <row r="89" spans="1:20" ht="23.25" customHeight="1" x14ac:dyDescent="0.25">
      <c r="A89" s="21" t="s">
        <v>389</v>
      </c>
      <c r="B89" s="24">
        <v>2017</v>
      </c>
      <c r="C89" s="90" t="s">
        <v>21</v>
      </c>
      <c r="D89" s="24" t="s">
        <v>390</v>
      </c>
      <c r="E89" s="30" t="s">
        <v>391</v>
      </c>
      <c r="F89" s="31" t="s">
        <v>62</v>
      </c>
      <c r="G89" s="21" t="s">
        <v>72</v>
      </c>
      <c r="H89" s="38" t="s">
        <v>392</v>
      </c>
      <c r="I89" s="39">
        <v>42989</v>
      </c>
      <c r="J89" s="39">
        <v>42993</v>
      </c>
      <c r="K89" s="24" t="s">
        <v>35</v>
      </c>
      <c r="L89" s="26">
        <v>7452.02</v>
      </c>
      <c r="M89" s="87"/>
      <c r="N89" s="40"/>
      <c r="O89" s="25"/>
      <c r="P89" s="25">
        <v>57</v>
      </c>
      <c r="Q89" s="25"/>
      <c r="R89" s="25">
        <f t="shared" si="1"/>
        <v>57</v>
      </c>
      <c r="S89" s="24">
        <v>20</v>
      </c>
      <c r="T89" s="21" t="s">
        <v>113</v>
      </c>
    </row>
    <row r="90" spans="1:20" ht="23.25" customHeight="1" x14ac:dyDescent="0.25">
      <c r="A90" s="20" t="s">
        <v>393</v>
      </c>
      <c r="B90" s="22">
        <v>2017</v>
      </c>
      <c r="C90" s="90" t="s">
        <v>21</v>
      </c>
      <c r="D90" s="22" t="s">
        <v>394</v>
      </c>
      <c r="E90" s="27" t="s">
        <v>395</v>
      </c>
      <c r="F90" s="29" t="s">
        <v>62</v>
      </c>
      <c r="G90" s="20" t="s">
        <v>72</v>
      </c>
      <c r="H90" s="36" t="s">
        <v>396</v>
      </c>
      <c r="I90" s="37">
        <v>43003</v>
      </c>
      <c r="J90" s="37">
        <v>43007</v>
      </c>
      <c r="K90" s="22" t="s">
        <v>35</v>
      </c>
      <c r="L90" s="28">
        <v>7510.44</v>
      </c>
      <c r="M90" s="86"/>
      <c r="N90" s="41"/>
      <c r="O90" s="23"/>
      <c r="P90" s="23">
        <v>50</v>
      </c>
      <c r="Q90" s="23"/>
      <c r="R90" s="23">
        <f t="shared" si="1"/>
        <v>50</v>
      </c>
      <c r="S90" s="22">
        <v>20</v>
      </c>
      <c r="T90" s="20" t="s">
        <v>113</v>
      </c>
    </row>
    <row r="91" spans="1:20" ht="23.25" customHeight="1" x14ac:dyDescent="0.25">
      <c r="A91" s="21" t="s">
        <v>397</v>
      </c>
      <c r="B91" s="24">
        <v>2017</v>
      </c>
      <c r="C91" s="90" t="s">
        <v>21</v>
      </c>
      <c r="D91" s="24" t="s">
        <v>398</v>
      </c>
      <c r="E91" s="30" t="s">
        <v>399</v>
      </c>
      <c r="F91" s="31" t="s">
        <v>23</v>
      </c>
      <c r="G91" s="21" t="s">
        <v>68</v>
      </c>
      <c r="H91" s="38" t="s">
        <v>400</v>
      </c>
      <c r="I91" s="39">
        <v>43025</v>
      </c>
      <c r="J91" s="39">
        <v>43026</v>
      </c>
      <c r="K91" s="24" t="s">
        <v>26</v>
      </c>
      <c r="L91" s="26">
        <v>19780</v>
      </c>
      <c r="M91" s="87"/>
      <c r="N91" s="40"/>
      <c r="O91" s="25">
        <v>18</v>
      </c>
      <c r="P91" s="25"/>
      <c r="Q91" s="25"/>
      <c r="R91" s="25">
        <f t="shared" si="1"/>
        <v>18</v>
      </c>
      <c r="S91" s="24">
        <v>20</v>
      </c>
      <c r="T91" s="21" t="s">
        <v>69</v>
      </c>
    </row>
    <row r="92" spans="1:20" ht="23.25" customHeight="1" x14ac:dyDescent="0.25">
      <c r="A92" s="20" t="s">
        <v>401</v>
      </c>
      <c r="B92" s="22">
        <v>2017</v>
      </c>
      <c r="C92" s="90" t="s">
        <v>21</v>
      </c>
      <c r="D92" s="22" t="s">
        <v>402</v>
      </c>
      <c r="E92" s="27" t="s">
        <v>403</v>
      </c>
      <c r="F92" s="29" t="s">
        <v>23</v>
      </c>
      <c r="G92" s="20" t="s">
        <v>38</v>
      </c>
      <c r="H92" s="36" t="s">
        <v>404</v>
      </c>
      <c r="I92" s="37">
        <v>43031</v>
      </c>
      <c r="J92" s="37">
        <v>43035</v>
      </c>
      <c r="K92" s="22" t="s">
        <v>35</v>
      </c>
      <c r="L92" s="28">
        <v>7452.02</v>
      </c>
      <c r="M92" s="86"/>
      <c r="N92" s="41"/>
      <c r="O92" s="23">
        <v>18</v>
      </c>
      <c r="P92" s="23"/>
      <c r="Q92" s="23"/>
      <c r="R92" s="23">
        <f t="shared" si="1"/>
        <v>18</v>
      </c>
      <c r="S92" s="22">
        <v>20</v>
      </c>
      <c r="T92" s="20" t="s">
        <v>405</v>
      </c>
    </row>
    <row r="93" spans="1:20" ht="23.25" customHeight="1" x14ac:dyDescent="0.25">
      <c r="A93" s="21" t="s">
        <v>406</v>
      </c>
      <c r="B93" s="24">
        <v>2017</v>
      </c>
      <c r="C93" s="90" t="s">
        <v>21</v>
      </c>
      <c r="D93" s="24" t="s">
        <v>407</v>
      </c>
      <c r="E93" s="30" t="s">
        <v>408</v>
      </c>
      <c r="F93" s="31" t="s">
        <v>62</v>
      </c>
      <c r="G93" s="21" t="s">
        <v>72</v>
      </c>
      <c r="H93" s="38" t="s">
        <v>404</v>
      </c>
      <c r="I93" s="39">
        <v>43031</v>
      </c>
      <c r="J93" s="39">
        <v>43035</v>
      </c>
      <c r="K93" s="24" t="s">
        <v>220</v>
      </c>
      <c r="L93" s="26">
        <v>10272.4</v>
      </c>
      <c r="M93" s="87"/>
      <c r="N93" s="40"/>
      <c r="O93" s="25"/>
      <c r="P93" s="25">
        <v>40</v>
      </c>
      <c r="Q93" s="25"/>
      <c r="R93" s="25">
        <f t="shared" si="1"/>
        <v>40</v>
      </c>
      <c r="S93" s="24">
        <v>20</v>
      </c>
      <c r="T93" s="21" t="s">
        <v>409</v>
      </c>
    </row>
    <row r="94" spans="1:20" ht="23.25" customHeight="1" x14ac:dyDescent="0.25">
      <c r="A94" s="20" t="s">
        <v>410</v>
      </c>
      <c r="B94" s="22">
        <v>2017</v>
      </c>
      <c r="C94" s="90" t="s">
        <v>21</v>
      </c>
      <c r="D94" s="22" t="s">
        <v>411</v>
      </c>
      <c r="E94" s="27" t="s">
        <v>412</v>
      </c>
      <c r="F94" s="29" t="s">
        <v>62</v>
      </c>
      <c r="G94" s="20" t="s">
        <v>72</v>
      </c>
      <c r="H94" s="36" t="s">
        <v>413</v>
      </c>
      <c r="I94" s="37">
        <v>43045</v>
      </c>
      <c r="J94" s="37">
        <v>43048</v>
      </c>
      <c r="K94" s="22" t="s">
        <v>35</v>
      </c>
      <c r="L94" s="28">
        <v>5961.61</v>
      </c>
      <c r="M94" s="86"/>
      <c r="N94" s="41"/>
      <c r="O94" s="23"/>
      <c r="P94" s="23">
        <v>37</v>
      </c>
      <c r="Q94" s="23"/>
      <c r="R94" s="23">
        <f t="shared" si="1"/>
        <v>37</v>
      </c>
      <c r="S94" s="22">
        <v>16</v>
      </c>
      <c r="T94" s="20" t="s">
        <v>414</v>
      </c>
    </row>
    <row r="95" spans="1:20" ht="23.25" customHeight="1" x14ac:dyDescent="0.25">
      <c r="A95" s="21" t="s">
        <v>415</v>
      </c>
      <c r="B95" s="24">
        <v>2018</v>
      </c>
      <c r="C95" s="90" t="s">
        <v>21</v>
      </c>
      <c r="D95" s="24" t="s">
        <v>416</v>
      </c>
      <c r="E95" s="30" t="s">
        <v>184</v>
      </c>
      <c r="F95" s="31" t="s">
        <v>81</v>
      </c>
      <c r="G95" s="21" t="s">
        <v>72</v>
      </c>
      <c r="H95" s="38" t="s">
        <v>417</v>
      </c>
      <c r="I95" s="39">
        <v>43179</v>
      </c>
      <c r="J95" s="39">
        <v>43180</v>
      </c>
      <c r="K95" s="24" t="s">
        <v>35</v>
      </c>
      <c r="L95" s="26">
        <v>5647.92</v>
      </c>
      <c r="M95" s="87"/>
      <c r="N95" s="40"/>
      <c r="O95" s="25"/>
      <c r="P95" s="25"/>
      <c r="Q95" s="25">
        <v>96</v>
      </c>
      <c r="R95" s="25">
        <f t="shared" si="1"/>
        <v>96</v>
      </c>
      <c r="S95" s="24">
        <v>20</v>
      </c>
      <c r="T95" s="32" t="s">
        <v>418</v>
      </c>
    </row>
    <row r="96" spans="1:20" ht="23.25" customHeight="1" x14ac:dyDescent="0.25">
      <c r="A96" s="20" t="s">
        <v>419</v>
      </c>
      <c r="B96" s="22">
        <v>2018</v>
      </c>
      <c r="C96" s="90" t="s">
        <v>21</v>
      </c>
      <c r="D96" s="22" t="s">
        <v>420</v>
      </c>
      <c r="E96" s="27" t="s">
        <v>421</v>
      </c>
      <c r="F96" s="29" t="s">
        <v>23</v>
      </c>
      <c r="G96" s="20" t="s">
        <v>33</v>
      </c>
      <c r="H96" s="36" t="s">
        <v>422</v>
      </c>
      <c r="I96" s="37">
        <v>43192</v>
      </c>
      <c r="J96" s="37">
        <v>43196</v>
      </c>
      <c r="K96" s="22" t="s">
        <v>35</v>
      </c>
      <c r="L96" s="28">
        <v>13018.48</v>
      </c>
      <c r="M96" s="86"/>
      <c r="N96" s="41"/>
      <c r="O96" s="23">
        <v>19</v>
      </c>
      <c r="P96" s="23"/>
      <c r="Q96" s="23"/>
      <c r="R96" s="23">
        <f t="shared" si="1"/>
        <v>19</v>
      </c>
      <c r="S96" s="22">
        <v>20</v>
      </c>
      <c r="T96" s="20" t="s">
        <v>108</v>
      </c>
    </row>
    <row r="97" spans="1:20" ht="23.25" customHeight="1" x14ac:dyDescent="0.25">
      <c r="A97" s="21" t="s">
        <v>423</v>
      </c>
      <c r="B97" s="24">
        <v>2018</v>
      </c>
      <c r="C97" s="90" t="s">
        <v>21</v>
      </c>
      <c r="D97" s="24" t="s">
        <v>424</v>
      </c>
      <c r="E97" s="30" t="s">
        <v>425</v>
      </c>
      <c r="F97" s="31" t="s">
        <v>62</v>
      </c>
      <c r="G97" s="21" t="s">
        <v>72</v>
      </c>
      <c r="H97" s="38" t="s">
        <v>426</v>
      </c>
      <c r="I97" s="39">
        <v>43199</v>
      </c>
      <c r="J97" s="39">
        <v>43203</v>
      </c>
      <c r="K97" s="24" t="s">
        <v>35</v>
      </c>
      <c r="L97" s="26">
        <v>7310.2</v>
      </c>
      <c r="M97" s="87"/>
      <c r="N97" s="40"/>
      <c r="O97" s="25"/>
      <c r="P97" s="25">
        <v>65</v>
      </c>
      <c r="Q97" s="25"/>
      <c r="R97" s="25">
        <f t="shared" si="1"/>
        <v>65</v>
      </c>
      <c r="S97" s="24">
        <v>20</v>
      </c>
      <c r="T97" s="21" t="s">
        <v>113</v>
      </c>
    </row>
    <row r="98" spans="1:20" ht="23.25" customHeight="1" x14ac:dyDescent="0.25">
      <c r="A98" s="20" t="s">
        <v>427</v>
      </c>
      <c r="B98" s="22">
        <v>2018</v>
      </c>
      <c r="C98" s="90" t="s">
        <v>21</v>
      </c>
      <c r="D98" s="22" t="s">
        <v>428</v>
      </c>
      <c r="E98" s="27" t="s">
        <v>429</v>
      </c>
      <c r="F98" s="29" t="s">
        <v>23</v>
      </c>
      <c r="G98" s="20" t="s">
        <v>82</v>
      </c>
      <c r="H98" s="36" t="s">
        <v>83</v>
      </c>
      <c r="I98" s="37">
        <v>43225</v>
      </c>
      <c r="J98" s="37">
        <v>43225</v>
      </c>
      <c r="K98" s="22" t="s">
        <v>26</v>
      </c>
      <c r="L98" s="28">
        <v>0</v>
      </c>
      <c r="M98" s="86"/>
      <c r="N98" s="41"/>
      <c r="O98" s="23">
        <v>19</v>
      </c>
      <c r="P98" s="23"/>
      <c r="Q98" s="23"/>
      <c r="R98" s="23">
        <f t="shared" si="1"/>
        <v>19</v>
      </c>
      <c r="S98" s="22">
        <v>8</v>
      </c>
      <c r="T98" s="20" t="s">
        <v>108</v>
      </c>
    </row>
    <row r="99" spans="1:20" ht="23.25" customHeight="1" x14ac:dyDescent="0.25">
      <c r="A99" s="21" t="s">
        <v>430</v>
      </c>
      <c r="B99" s="24">
        <v>2018</v>
      </c>
      <c r="C99" s="90" t="s">
        <v>21</v>
      </c>
      <c r="D99" s="24" t="s">
        <v>431</v>
      </c>
      <c r="E99" s="30" t="s">
        <v>432</v>
      </c>
      <c r="F99" s="31" t="s">
        <v>23</v>
      </c>
      <c r="G99" s="21" t="s">
        <v>199</v>
      </c>
      <c r="H99" s="38" t="s">
        <v>433</v>
      </c>
      <c r="I99" s="39">
        <v>43227</v>
      </c>
      <c r="J99" s="39">
        <v>43231</v>
      </c>
      <c r="K99" s="24" t="s">
        <v>26</v>
      </c>
      <c r="L99" s="26">
        <v>7690</v>
      </c>
      <c r="M99" s="87"/>
      <c r="N99" s="40"/>
      <c r="O99" s="25">
        <v>19</v>
      </c>
      <c r="P99" s="25"/>
      <c r="Q99" s="25"/>
      <c r="R99" s="25">
        <f t="shared" si="1"/>
        <v>19</v>
      </c>
      <c r="S99" s="24">
        <v>16</v>
      </c>
      <c r="T99" s="21" t="s">
        <v>274</v>
      </c>
    </row>
    <row r="100" spans="1:20" ht="23.25" customHeight="1" x14ac:dyDescent="0.25">
      <c r="A100" s="20" t="s">
        <v>434</v>
      </c>
      <c r="B100" s="22">
        <v>2018</v>
      </c>
      <c r="C100" s="90" t="s">
        <v>21</v>
      </c>
      <c r="D100" s="22" t="s">
        <v>435</v>
      </c>
      <c r="E100" s="27" t="s">
        <v>436</v>
      </c>
      <c r="F100" s="29" t="s">
        <v>23</v>
      </c>
      <c r="G100" s="20" t="s">
        <v>33</v>
      </c>
      <c r="H100" s="36" t="s">
        <v>437</v>
      </c>
      <c r="I100" s="37">
        <v>43234</v>
      </c>
      <c r="J100" s="37">
        <v>43238</v>
      </c>
      <c r="K100" s="22" t="s">
        <v>35</v>
      </c>
      <c r="L100" s="28">
        <v>7510.44</v>
      </c>
      <c r="M100" s="86"/>
      <c r="N100" s="41"/>
      <c r="O100" s="23">
        <v>20</v>
      </c>
      <c r="P100" s="23"/>
      <c r="Q100" s="23"/>
      <c r="R100" s="23">
        <f t="shared" si="1"/>
        <v>20</v>
      </c>
      <c r="S100" s="22">
        <v>20</v>
      </c>
      <c r="T100" s="20" t="s">
        <v>108</v>
      </c>
    </row>
    <row r="101" spans="1:20" ht="23.25" customHeight="1" x14ac:dyDescent="0.25">
      <c r="A101" s="21" t="s">
        <v>438</v>
      </c>
      <c r="B101" s="24">
        <v>2018</v>
      </c>
      <c r="C101" s="90" t="s">
        <v>21</v>
      </c>
      <c r="D101" s="24" t="s">
        <v>439</v>
      </c>
      <c r="E101" s="30" t="s">
        <v>440</v>
      </c>
      <c r="F101" s="31" t="s">
        <v>62</v>
      </c>
      <c r="G101" s="21" t="s">
        <v>72</v>
      </c>
      <c r="H101" s="38" t="s">
        <v>441</v>
      </c>
      <c r="I101" s="39">
        <v>43255</v>
      </c>
      <c r="J101" s="39">
        <v>43259</v>
      </c>
      <c r="K101" s="24" t="s">
        <v>220</v>
      </c>
      <c r="L101" s="26">
        <v>6612.08</v>
      </c>
      <c r="M101" s="87"/>
      <c r="N101" s="40"/>
      <c r="O101" s="25"/>
      <c r="P101" s="25">
        <v>63</v>
      </c>
      <c r="Q101" s="25"/>
      <c r="R101" s="25">
        <f t="shared" si="1"/>
        <v>63</v>
      </c>
      <c r="S101" s="24">
        <v>20</v>
      </c>
      <c r="T101" s="21" t="s">
        <v>442</v>
      </c>
    </row>
    <row r="102" spans="1:20" ht="23.25" customHeight="1" x14ac:dyDescent="0.25">
      <c r="A102" s="20" t="s">
        <v>443</v>
      </c>
      <c r="B102" s="22">
        <v>2018</v>
      </c>
      <c r="C102" s="90" t="s">
        <v>21</v>
      </c>
      <c r="D102" s="22" t="s">
        <v>420</v>
      </c>
      <c r="E102" s="27" t="s">
        <v>444</v>
      </c>
      <c r="F102" s="35" t="s">
        <v>23</v>
      </c>
      <c r="G102" s="20" t="s">
        <v>33</v>
      </c>
      <c r="H102" s="36" t="s">
        <v>441</v>
      </c>
      <c r="I102" s="37">
        <v>43255</v>
      </c>
      <c r="J102" s="37">
        <v>43259</v>
      </c>
      <c r="K102" s="22" t="s">
        <v>35</v>
      </c>
      <c r="L102" s="28">
        <v>6509.24</v>
      </c>
      <c r="M102" s="86"/>
      <c r="N102" s="41"/>
      <c r="O102" s="23">
        <v>18</v>
      </c>
      <c r="P102" s="23"/>
      <c r="Q102" s="23"/>
      <c r="R102" s="23">
        <f t="shared" si="1"/>
        <v>18</v>
      </c>
      <c r="S102" s="22">
        <v>20</v>
      </c>
      <c r="T102" s="20" t="s">
        <v>190</v>
      </c>
    </row>
    <row r="103" spans="1:20" ht="23.25" customHeight="1" x14ac:dyDescent="0.25">
      <c r="A103" s="21" t="s">
        <v>445</v>
      </c>
      <c r="B103" s="24">
        <v>2018</v>
      </c>
      <c r="C103" s="90" t="s">
        <v>21</v>
      </c>
      <c r="D103" s="24" t="s">
        <v>446</v>
      </c>
      <c r="E103" s="30" t="s">
        <v>447</v>
      </c>
      <c r="F103" s="31" t="s">
        <v>23</v>
      </c>
      <c r="G103" s="21" t="s">
        <v>38</v>
      </c>
      <c r="H103" s="38" t="s">
        <v>448</v>
      </c>
      <c r="I103" s="39">
        <v>43262</v>
      </c>
      <c r="J103" s="39">
        <v>43266</v>
      </c>
      <c r="K103" s="24" t="s">
        <v>26</v>
      </c>
      <c r="L103" s="26">
        <v>20000</v>
      </c>
      <c r="M103" s="87"/>
      <c r="N103" s="40"/>
      <c r="O103" s="25">
        <v>31</v>
      </c>
      <c r="P103" s="25"/>
      <c r="Q103" s="25"/>
      <c r="R103" s="25">
        <f t="shared" si="1"/>
        <v>31</v>
      </c>
      <c r="S103" s="24">
        <v>20</v>
      </c>
      <c r="T103" s="21" t="s">
        <v>449</v>
      </c>
    </row>
    <row r="104" spans="1:20" ht="23.25" customHeight="1" x14ac:dyDescent="0.25">
      <c r="A104" s="20" t="s">
        <v>450</v>
      </c>
      <c r="B104" s="22">
        <v>2018</v>
      </c>
      <c r="C104" s="90" t="s">
        <v>21</v>
      </c>
      <c r="D104" s="22" t="s">
        <v>451</v>
      </c>
      <c r="E104" s="27" t="s">
        <v>452</v>
      </c>
      <c r="F104" s="29" t="s">
        <v>62</v>
      </c>
      <c r="G104" s="20" t="s">
        <v>72</v>
      </c>
      <c r="H104" s="36" t="s">
        <v>453</v>
      </c>
      <c r="I104" s="37">
        <v>43269</v>
      </c>
      <c r="J104" s="37">
        <v>43273</v>
      </c>
      <c r="K104" s="22" t="s">
        <v>35</v>
      </c>
      <c r="L104" s="28">
        <v>7310.2</v>
      </c>
      <c r="M104" s="86"/>
      <c r="N104" s="41"/>
      <c r="O104" s="23"/>
      <c r="P104" s="23">
        <v>59</v>
      </c>
      <c r="Q104" s="23"/>
      <c r="R104" s="23">
        <f t="shared" si="1"/>
        <v>59</v>
      </c>
      <c r="S104" s="22">
        <v>20</v>
      </c>
      <c r="T104" s="20" t="s">
        <v>269</v>
      </c>
    </row>
    <row r="105" spans="1:20" ht="23.25" customHeight="1" x14ac:dyDescent="0.25">
      <c r="A105" s="21" t="s">
        <v>454</v>
      </c>
      <c r="B105" s="24">
        <v>2018</v>
      </c>
      <c r="C105" s="90" t="s">
        <v>21</v>
      </c>
      <c r="D105" s="24" t="s">
        <v>455</v>
      </c>
      <c r="E105" s="30" t="s">
        <v>456</v>
      </c>
      <c r="F105" s="31" t="s">
        <v>23</v>
      </c>
      <c r="G105" s="21" t="s">
        <v>457</v>
      </c>
      <c r="H105" s="38" t="s">
        <v>458</v>
      </c>
      <c r="I105" s="39">
        <v>43272</v>
      </c>
      <c r="J105" s="39">
        <v>43277</v>
      </c>
      <c r="K105" s="24" t="s">
        <v>26</v>
      </c>
      <c r="L105" s="26">
        <v>17625</v>
      </c>
      <c r="M105" s="87"/>
      <c r="N105" s="40"/>
      <c r="O105" s="25">
        <v>25</v>
      </c>
      <c r="P105" s="25"/>
      <c r="Q105" s="25"/>
      <c r="R105" s="25">
        <f t="shared" si="1"/>
        <v>25</v>
      </c>
      <c r="S105" s="24">
        <v>24</v>
      </c>
      <c r="T105" s="21" t="s">
        <v>459</v>
      </c>
    </row>
    <row r="106" spans="1:20" ht="23.25" customHeight="1" x14ac:dyDescent="0.25">
      <c r="A106" s="20" t="s">
        <v>460</v>
      </c>
      <c r="B106" s="22">
        <v>2018</v>
      </c>
      <c r="C106" s="90" t="s">
        <v>21</v>
      </c>
      <c r="D106" s="22" t="s">
        <v>461</v>
      </c>
      <c r="E106" s="27" t="s">
        <v>462</v>
      </c>
      <c r="F106" s="29" t="s">
        <v>62</v>
      </c>
      <c r="G106" s="20" t="s">
        <v>72</v>
      </c>
      <c r="H106" s="36" t="s">
        <v>463</v>
      </c>
      <c r="I106" s="37">
        <v>43297</v>
      </c>
      <c r="J106" s="37">
        <v>43301</v>
      </c>
      <c r="K106" s="22" t="s">
        <v>35</v>
      </c>
      <c r="L106" s="28">
        <v>7510.44</v>
      </c>
      <c r="M106" s="86"/>
      <c r="N106" s="41"/>
      <c r="O106" s="23"/>
      <c r="P106" s="23">
        <v>34</v>
      </c>
      <c r="Q106" s="23"/>
      <c r="R106" s="23">
        <f t="shared" si="1"/>
        <v>34</v>
      </c>
      <c r="S106" s="22">
        <v>20</v>
      </c>
      <c r="T106" s="20" t="s">
        <v>464</v>
      </c>
    </row>
    <row r="107" spans="1:20" ht="23.25" customHeight="1" x14ac:dyDescent="0.25">
      <c r="A107" s="21" t="s">
        <v>465</v>
      </c>
      <c r="B107" s="24">
        <v>2018</v>
      </c>
      <c r="C107" s="90" t="s">
        <v>21</v>
      </c>
      <c r="D107" s="24" t="s">
        <v>431</v>
      </c>
      <c r="E107" s="30" t="s">
        <v>466</v>
      </c>
      <c r="F107" s="31" t="s">
        <v>23</v>
      </c>
      <c r="G107" s="21" t="s">
        <v>199</v>
      </c>
      <c r="H107" s="38" t="s">
        <v>467</v>
      </c>
      <c r="I107" s="39">
        <v>43325</v>
      </c>
      <c r="J107" s="39">
        <v>43329</v>
      </c>
      <c r="K107" s="24" t="s">
        <v>26</v>
      </c>
      <c r="L107" s="26">
        <v>7690</v>
      </c>
      <c r="M107" s="87"/>
      <c r="N107" s="40"/>
      <c r="O107" s="25">
        <v>19</v>
      </c>
      <c r="P107" s="25"/>
      <c r="Q107" s="25"/>
      <c r="R107" s="25">
        <f t="shared" si="1"/>
        <v>19</v>
      </c>
      <c r="S107" s="24">
        <v>16</v>
      </c>
      <c r="T107" s="21" t="s">
        <v>274</v>
      </c>
    </row>
    <row r="108" spans="1:20" ht="23.25" customHeight="1" x14ac:dyDescent="0.25">
      <c r="A108" s="20" t="s">
        <v>468</v>
      </c>
      <c r="B108" s="22">
        <v>2018</v>
      </c>
      <c r="C108" s="90" t="s">
        <v>21</v>
      </c>
      <c r="D108" s="22" t="s">
        <v>469</v>
      </c>
      <c r="E108" s="27" t="s">
        <v>470</v>
      </c>
      <c r="F108" s="29" t="s">
        <v>23</v>
      </c>
      <c r="G108" s="20" t="s">
        <v>72</v>
      </c>
      <c r="H108" s="36" t="s">
        <v>471</v>
      </c>
      <c r="I108" s="37">
        <v>43333</v>
      </c>
      <c r="J108" s="37">
        <v>43334</v>
      </c>
      <c r="K108" s="22" t="s">
        <v>26</v>
      </c>
      <c r="L108" s="28">
        <v>25096.14</v>
      </c>
      <c r="M108" s="86"/>
      <c r="N108" s="41"/>
      <c r="O108" s="23">
        <v>79</v>
      </c>
      <c r="P108" s="23">
        <v>274</v>
      </c>
      <c r="Q108" s="23">
        <v>0</v>
      </c>
      <c r="R108" s="23">
        <f t="shared" si="1"/>
        <v>353</v>
      </c>
      <c r="S108" s="22">
        <v>8</v>
      </c>
      <c r="T108" s="20" t="s">
        <v>472</v>
      </c>
    </row>
    <row r="109" spans="1:20" ht="23.25" customHeight="1" x14ac:dyDescent="0.25">
      <c r="A109" s="21" t="s">
        <v>473</v>
      </c>
      <c r="B109" s="24">
        <v>2018</v>
      </c>
      <c r="C109" s="90" t="s">
        <v>21</v>
      </c>
      <c r="D109" s="24" t="s">
        <v>446</v>
      </c>
      <c r="E109" s="30" t="s">
        <v>474</v>
      </c>
      <c r="F109" s="31" t="s">
        <v>23</v>
      </c>
      <c r="G109" s="21" t="s">
        <v>38</v>
      </c>
      <c r="H109" s="38" t="s">
        <v>475</v>
      </c>
      <c r="I109" s="39">
        <v>43339</v>
      </c>
      <c r="J109" s="39">
        <v>43343</v>
      </c>
      <c r="K109" s="24" t="s">
        <v>26</v>
      </c>
      <c r="L109" s="26">
        <v>20000</v>
      </c>
      <c r="M109" s="87"/>
      <c r="N109" s="40"/>
      <c r="O109" s="25">
        <v>28</v>
      </c>
      <c r="P109" s="25"/>
      <c r="Q109" s="25"/>
      <c r="R109" s="25">
        <f t="shared" si="1"/>
        <v>28</v>
      </c>
      <c r="S109" s="24">
        <v>20</v>
      </c>
      <c r="T109" s="21" t="s">
        <v>449</v>
      </c>
    </row>
    <row r="110" spans="1:20" ht="23.25" customHeight="1" x14ac:dyDescent="0.25">
      <c r="A110" s="20" t="s">
        <v>476</v>
      </c>
      <c r="B110" s="22">
        <v>2018</v>
      </c>
      <c r="C110" s="90" t="s">
        <v>21</v>
      </c>
      <c r="D110" s="22" t="s">
        <v>477</v>
      </c>
      <c r="E110" s="27" t="s">
        <v>478</v>
      </c>
      <c r="F110" s="29" t="s">
        <v>23</v>
      </c>
      <c r="G110" s="20" t="s">
        <v>457</v>
      </c>
      <c r="H110" s="36" t="s">
        <v>479</v>
      </c>
      <c r="I110" s="37">
        <v>43343</v>
      </c>
      <c r="J110" s="37">
        <v>43343</v>
      </c>
      <c r="K110" s="22" t="s">
        <v>26</v>
      </c>
      <c r="L110" s="28">
        <v>43000</v>
      </c>
      <c r="M110" s="86"/>
      <c r="N110" s="41"/>
      <c r="O110" s="23">
        <v>215</v>
      </c>
      <c r="P110" s="23"/>
      <c r="Q110" s="23"/>
      <c r="R110" s="23">
        <f t="shared" si="1"/>
        <v>215</v>
      </c>
      <c r="S110" s="22">
        <v>2</v>
      </c>
      <c r="T110" s="20" t="s">
        <v>480</v>
      </c>
    </row>
    <row r="111" spans="1:20" ht="23.25" customHeight="1" x14ac:dyDescent="0.25">
      <c r="A111" s="21" t="s">
        <v>481</v>
      </c>
      <c r="B111" s="24">
        <v>2018</v>
      </c>
      <c r="C111" s="90" t="s">
        <v>21</v>
      </c>
      <c r="D111" s="24" t="s">
        <v>482</v>
      </c>
      <c r="E111" s="30" t="s">
        <v>483</v>
      </c>
      <c r="F111" s="31" t="s">
        <v>23</v>
      </c>
      <c r="G111" s="21" t="s">
        <v>457</v>
      </c>
      <c r="H111" s="38" t="s">
        <v>484</v>
      </c>
      <c r="I111" s="39">
        <v>43369</v>
      </c>
      <c r="J111" s="39">
        <v>43424</v>
      </c>
      <c r="K111" s="24" t="s">
        <v>26</v>
      </c>
      <c r="L111" s="26">
        <v>31960</v>
      </c>
      <c r="M111" s="87"/>
      <c r="N111" s="40"/>
      <c r="O111" s="25">
        <v>55</v>
      </c>
      <c r="P111" s="25"/>
      <c r="Q111" s="25"/>
      <c r="R111" s="25">
        <f t="shared" si="1"/>
        <v>55</v>
      </c>
      <c r="S111" s="24">
        <v>47</v>
      </c>
      <c r="T111" s="21" t="s">
        <v>485</v>
      </c>
    </row>
    <row r="112" spans="1:20" ht="23.25" customHeight="1" x14ac:dyDescent="0.25">
      <c r="A112" s="20" t="s">
        <v>486</v>
      </c>
      <c r="B112" s="22">
        <v>2018</v>
      </c>
      <c r="C112" s="90" t="s">
        <v>21</v>
      </c>
      <c r="D112" s="22" t="s">
        <v>487</v>
      </c>
      <c r="E112" s="27" t="s">
        <v>488</v>
      </c>
      <c r="F112" s="29" t="s">
        <v>23</v>
      </c>
      <c r="G112" s="20" t="s">
        <v>457</v>
      </c>
      <c r="H112" s="36" t="s">
        <v>489</v>
      </c>
      <c r="I112" s="37">
        <v>43397</v>
      </c>
      <c r="J112" s="37">
        <v>43397</v>
      </c>
      <c r="K112" s="22" t="s">
        <v>26</v>
      </c>
      <c r="L112" s="28">
        <v>2419.23</v>
      </c>
      <c r="M112" s="86"/>
      <c r="N112" s="41"/>
      <c r="O112" s="23">
        <v>11</v>
      </c>
      <c r="P112" s="23"/>
      <c r="Q112" s="23"/>
      <c r="R112" s="23">
        <f t="shared" si="1"/>
        <v>11</v>
      </c>
      <c r="S112" s="22">
        <v>3.5</v>
      </c>
      <c r="T112" s="20" t="s">
        <v>490</v>
      </c>
    </row>
    <row r="113" spans="1:20" ht="23.25" customHeight="1" x14ac:dyDescent="0.25">
      <c r="A113" s="21" t="s">
        <v>491</v>
      </c>
      <c r="B113" s="24">
        <v>2018</v>
      </c>
      <c r="C113" s="90" t="s">
        <v>21</v>
      </c>
      <c r="D113" s="24" t="s">
        <v>492</v>
      </c>
      <c r="E113" s="30" t="s">
        <v>493</v>
      </c>
      <c r="F113" s="31" t="s">
        <v>23</v>
      </c>
      <c r="G113" s="21" t="s">
        <v>38</v>
      </c>
      <c r="H113" s="38" t="s">
        <v>494</v>
      </c>
      <c r="I113" s="39">
        <v>43423</v>
      </c>
      <c r="J113" s="39">
        <v>43425</v>
      </c>
      <c r="K113" s="24" t="s">
        <v>35</v>
      </c>
      <c r="L113" s="26">
        <v>2585.36</v>
      </c>
      <c r="M113" s="87"/>
      <c r="N113" s="40"/>
      <c r="O113" s="25">
        <v>26</v>
      </c>
      <c r="P113" s="25"/>
      <c r="Q113" s="25"/>
      <c r="R113" s="25">
        <f t="shared" si="1"/>
        <v>26</v>
      </c>
      <c r="S113" s="24">
        <v>14</v>
      </c>
      <c r="T113" s="21" t="s">
        <v>495</v>
      </c>
    </row>
    <row r="114" spans="1:20" ht="23.25" customHeight="1" x14ac:dyDescent="0.25">
      <c r="A114" s="20" t="s">
        <v>496</v>
      </c>
      <c r="B114" s="22">
        <v>2018</v>
      </c>
      <c r="C114" s="90" t="s">
        <v>21</v>
      </c>
      <c r="D114" s="22" t="s">
        <v>487</v>
      </c>
      <c r="E114" s="27" t="s">
        <v>497</v>
      </c>
      <c r="F114" s="29" t="s">
        <v>23</v>
      </c>
      <c r="G114" s="20" t="s">
        <v>457</v>
      </c>
      <c r="H114" s="36" t="s">
        <v>498</v>
      </c>
      <c r="I114" s="37">
        <v>43431</v>
      </c>
      <c r="J114" s="37">
        <v>43431</v>
      </c>
      <c r="K114" s="22" t="s">
        <v>26</v>
      </c>
      <c r="L114" s="28">
        <v>1760.48</v>
      </c>
      <c r="M114" s="86"/>
      <c r="N114" s="41"/>
      <c r="O114" s="23">
        <v>8</v>
      </c>
      <c r="P114" s="23"/>
      <c r="Q114" s="23"/>
      <c r="R114" s="23">
        <f t="shared" si="1"/>
        <v>8</v>
      </c>
      <c r="S114" s="22">
        <v>3.5</v>
      </c>
      <c r="T114" s="20" t="s">
        <v>499</v>
      </c>
    </row>
    <row r="115" spans="1:20" ht="23.25" customHeight="1" x14ac:dyDescent="0.25">
      <c r="A115" s="21" t="s">
        <v>500</v>
      </c>
      <c r="B115" s="24">
        <v>2018</v>
      </c>
      <c r="C115" s="90" t="s">
        <v>21</v>
      </c>
      <c r="D115" s="24" t="s">
        <v>501</v>
      </c>
      <c r="E115" s="30" t="s">
        <v>502</v>
      </c>
      <c r="F115" s="31" t="s">
        <v>23</v>
      </c>
      <c r="G115" s="21" t="s">
        <v>38</v>
      </c>
      <c r="H115" s="38" t="s">
        <v>503</v>
      </c>
      <c r="I115" s="39">
        <v>43437</v>
      </c>
      <c r="J115" s="39">
        <v>43437</v>
      </c>
      <c r="K115" s="24" t="s">
        <v>26</v>
      </c>
      <c r="L115" s="26">
        <v>3000</v>
      </c>
      <c r="M115" s="87"/>
      <c r="N115" s="40"/>
      <c r="O115" s="25">
        <v>38</v>
      </c>
      <c r="P115" s="25">
        <v>0</v>
      </c>
      <c r="Q115" s="25">
        <v>0</v>
      </c>
      <c r="R115" s="25">
        <f t="shared" si="1"/>
        <v>38</v>
      </c>
      <c r="S115" s="24">
        <v>4</v>
      </c>
      <c r="T115" s="21" t="s">
        <v>504</v>
      </c>
    </row>
    <row r="116" spans="1:20" ht="23.25" customHeight="1" x14ac:dyDescent="0.25">
      <c r="A116" s="20" t="s">
        <v>505</v>
      </c>
      <c r="B116" s="22">
        <v>2019</v>
      </c>
      <c r="C116" s="90" t="s">
        <v>21</v>
      </c>
      <c r="D116" s="22" t="s">
        <v>506</v>
      </c>
      <c r="E116" s="27" t="s">
        <v>507</v>
      </c>
      <c r="F116" s="29" t="s">
        <v>23</v>
      </c>
      <c r="G116" s="20" t="s">
        <v>364</v>
      </c>
      <c r="H116" s="36" t="s">
        <v>508</v>
      </c>
      <c r="I116" s="37">
        <v>43542</v>
      </c>
      <c r="J116" s="37">
        <v>43717</v>
      </c>
      <c r="K116" s="22" t="s">
        <v>35</v>
      </c>
      <c r="L116" s="28">
        <v>6624.6</v>
      </c>
      <c r="M116" s="86">
        <v>4.5999999999999996</v>
      </c>
      <c r="N116" s="41">
        <v>20</v>
      </c>
      <c r="O116" s="23">
        <v>18</v>
      </c>
      <c r="P116" s="23">
        <v>0</v>
      </c>
      <c r="Q116" s="23"/>
      <c r="R116" s="23">
        <f t="shared" si="1"/>
        <v>18</v>
      </c>
      <c r="S116" s="22">
        <v>20</v>
      </c>
      <c r="T116" s="20" t="s">
        <v>509</v>
      </c>
    </row>
    <row r="117" spans="1:20" ht="23.25" customHeight="1" x14ac:dyDescent="0.25">
      <c r="A117" s="21" t="s">
        <v>510</v>
      </c>
      <c r="B117" s="24">
        <v>2019</v>
      </c>
      <c r="C117" s="90" t="s">
        <v>21</v>
      </c>
      <c r="D117" s="24" t="s">
        <v>511</v>
      </c>
      <c r="E117" s="30" t="s">
        <v>512</v>
      </c>
      <c r="F117" s="31" t="s">
        <v>62</v>
      </c>
      <c r="G117" s="21" t="s">
        <v>72</v>
      </c>
      <c r="H117" s="38" t="s">
        <v>513</v>
      </c>
      <c r="I117" s="39">
        <v>43546</v>
      </c>
      <c r="J117" s="39">
        <v>43571</v>
      </c>
      <c r="K117" s="24" t="s">
        <v>26</v>
      </c>
      <c r="L117" s="26">
        <v>48000</v>
      </c>
      <c r="M117" s="87">
        <v>0</v>
      </c>
      <c r="N117" s="40">
        <v>60</v>
      </c>
      <c r="O117" s="25">
        <v>35</v>
      </c>
      <c r="P117" s="25">
        <v>10</v>
      </c>
      <c r="Q117" s="25"/>
      <c r="R117" s="25">
        <f t="shared" si="1"/>
        <v>45</v>
      </c>
      <c r="S117" s="24">
        <v>18</v>
      </c>
      <c r="T117" s="21" t="s">
        <v>514</v>
      </c>
    </row>
    <row r="118" spans="1:20" ht="23.25" customHeight="1" x14ac:dyDescent="0.25">
      <c r="A118" s="20" t="s">
        <v>515</v>
      </c>
      <c r="B118" s="22">
        <v>2019</v>
      </c>
      <c r="C118" s="90" t="s">
        <v>21</v>
      </c>
      <c r="D118" s="22" t="s">
        <v>516</v>
      </c>
      <c r="E118" s="27" t="s">
        <v>517</v>
      </c>
      <c r="F118" s="29" t="s">
        <v>23</v>
      </c>
      <c r="G118" s="20" t="s">
        <v>364</v>
      </c>
      <c r="H118" s="36" t="s">
        <v>518</v>
      </c>
      <c r="I118" s="37">
        <v>43549</v>
      </c>
      <c r="J118" s="37">
        <v>43728</v>
      </c>
      <c r="K118" s="22" t="s">
        <v>35</v>
      </c>
      <c r="L118" s="28">
        <v>7886.16</v>
      </c>
      <c r="M118" s="86">
        <v>4.5999999999999996</v>
      </c>
      <c r="N118" s="41">
        <v>47</v>
      </c>
      <c r="O118" s="23">
        <v>45</v>
      </c>
      <c r="P118" s="23">
        <v>0</v>
      </c>
      <c r="Q118" s="23"/>
      <c r="R118" s="23">
        <f t="shared" si="1"/>
        <v>45</v>
      </c>
      <c r="S118" s="22">
        <v>20</v>
      </c>
      <c r="T118" s="20" t="s">
        <v>519</v>
      </c>
    </row>
    <row r="119" spans="1:20" ht="23.25" customHeight="1" x14ac:dyDescent="0.25">
      <c r="A119" s="21" t="s">
        <v>520</v>
      </c>
      <c r="B119" s="24">
        <v>2019</v>
      </c>
      <c r="C119" s="90" t="s">
        <v>21</v>
      </c>
      <c r="D119" s="24" t="s">
        <v>521</v>
      </c>
      <c r="E119" s="30" t="s">
        <v>522</v>
      </c>
      <c r="F119" s="31" t="s">
        <v>23</v>
      </c>
      <c r="G119" s="21" t="s">
        <v>24</v>
      </c>
      <c r="H119" s="38" t="s">
        <v>523</v>
      </c>
      <c r="I119" s="39">
        <v>43577</v>
      </c>
      <c r="J119" s="39">
        <v>43585</v>
      </c>
      <c r="K119" s="24" t="s">
        <v>35</v>
      </c>
      <c r="L119" s="26">
        <v>0</v>
      </c>
      <c r="M119" s="87">
        <v>4.5</v>
      </c>
      <c r="N119" s="40">
        <v>60</v>
      </c>
      <c r="O119" s="25">
        <v>44</v>
      </c>
      <c r="P119" s="25">
        <v>0</v>
      </c>
      <c r="Q119" s="25"/>
      <c r="R119" s="25">
        <f t="shared" si="1"/>
        <v>44</v>
      </c>
      <c r="S119" s="24">
        <v>12</v>
      </c>
      <c r="T119" s="21" t="s">
        <v>524</v>
      </c>
    </row>
    <row r="120" spans="1:20" ht="23.25" customHeight="1" x14ac:dyDescent="0.25">
      <c r="A120" s="20" t="s">
        <v>525</v>
      </c>
      <c r="B120" s="22">
        <v>2019</v>
      </c>
      <c r="C120" s="90" t="s">
        <v>21</v>
      </c>
      <c r="D120" s="22" t="s">
        <v>526</v>
      </c>
      <c r="E120" s="27" t="s">
        <v>527</v>
      </c>
      <c r="F120" s="29" t="s">
        <v>62</v>
      </c>
      <c r="G120" s="20" t="s">
        <v>72</v>
      </c>
      <c r="H120" s="36" t="s">
        <v>528</v>
      </c>
      <c r="I120" s="37">
        <v>43578</v>
      </c>
      <c r="J120" s="37">
        <v>43578</v>
      </c>
      <c r="K120" s="22" t="s">
        <v>35</v>
      </c>
      <c r="L120" s="28">
        <v>1386.78</v>
      </c>
      <c r="M120" s="86">
        <v>0</v>
      </c>
      <c r="N120" s="41">
        <v>60</v>
      </c>
      <c r="O120" s="23">
        <v>0</v>
      </c>
      <c r="P120" s="23">
        <v>50</v>
      </c>
      <c r="Q120" s="23"/>
      <c r="R120" s="23">
        <f t="shared" si="1"/>
        <v>50</v>
      </c>
      <c r="S120" s="22">
        <v>4</v>
      </c>
      <c r="T120" s="20" t="s">
        <v>529</v>
      </c>
    </row>
    <row r="121" spans="1:20" ht="23.25" customHeight="1" x14ac:dyDescent="0.25">
      <c r="A121" s="21" t="s">
        <v>530</v>
      </c>
      <c r="B121" s="24">
        <v>2019</v>
      </c>
      <c r="C121" s="90" t="s">
        <v>21</v>
      </c>
      <c r="D121" s="24" t="s">
        <v>521</v>
      </c>
      <c r="E121" s="30" t="s">
        <v>531</v>
      </c>
      <c r="F121" s="31" t="s">
        <v>23</v>
      </c>
      <c r="G121" s="21" t="s">
        <v>24</v>
      </c>
      <c r="H121" s="38" t="s">
        <v>532</v>
      </c>
      <c r="I121" s="39">
        <v>43598</v>
      </c>
      <c r="J121" s="39">
        <v>43602</v>
      </c>
      <c r="K121" s="24" t="s">
        <v>35</v>
      </c>
      <c r="L121" s="26">
        <v>4831.82</v>
      </c>
      <c r="M121" s="87">
        <v>4.5</v>
      </c>
      <c r="N121" s="40">
        <v>60</v>
      </c>
      <c r="O121" s="25">
        <v>41</v>
      </c>
      <c r="P121" s="25">
        <v>0</v>
      </c>
      <c r="Q121" s="25"/>
      <c r="R121" s="25">
        <f t="shared" si="1"/>
        <v>41</v>
      </c>
      <c r="S121" s="24">
        <v>12</v>
      </c>
      <c r="T121" s="21" t="s">
        <v>533</v>
      </c>
    </row>
    <row r="122" spans="1:20" ht="23.25" customHeight="1" x14ac:dyDescent="0.25">
      <c r="A122" s="20" t="s">
        <v>534</v>
      </c>
      <c r="B122" s="22">
        <v>2019</v>
      </c>
      <c r="C122" s="90" t="s">
        <v>21</v>
      </c>
      <c r="D122" s="22" t="s">
        <v>526</v>
      </c>
      <c r="E122" s="27" t="s">
        <v>535</v>
      </c>
      <c r="F122" s="29" t="s">
        <v>62</v>
      </c>
      <c r="G122" s="20" t="s">
        <v>72</v>
      </c>
      <c r="H122" s="36" t="s">
        <v>536</v>
      </c>
      <c r="I122" s="37">
        <v>43605</v>
      </c>
      <c r="J122" s="37">
        <v>43605</v>
      </c>
      <c r="K122" s="22" t="s">
        <v>35</v>
      </c>
      <c r="L122" s="28">
        <v>1386.78</v>
      </c>
      <c r="M122" s="86">
        <v>0</v>
      </c>
      <c r="N122" s="41">
        <v>60</v>
      </c>
      <c r="O122" s="23">
        <v>0</v>
      </c>
      <c r="P122" s="23">
        <v>44</v>
      </c>
      <c r="Q122" s="23"/>
      <c r="R122" s="23">
        <f t="shared" si="1"/>
        <v>44</v>
      </c>
      <c r="S122" s="22">
        <v>4</v>
      </c>
      <c r="T122" s="20" t="s">
        <v>529</v>
      </c>
    </row>
    <row r="123" spans="1:20" ht="23.25" customHeight="1" x14ac:dyDescent="0.25">
      <c r="A123" s="21" t="s">
        <v>537</v>
      </c>
      <c r="B123" s="24">
        <v>2019</v>
      </c>
      <c r="C123" s="90" t="s">
        <v>21</v>
      </c>
      <c r="D123" s="24" t="s">
        <v>526</v>
      </c>
      <c r="E123" s="30" t="s">
        <v>538</v>
      </c>
      <c r="F123" s="31" t="s">
        <v>62</v>
      </c>
      <c r="G123" s="21" t="s">
        <v>72</v>
      </c>
      <c r="H123" s="38" t="s">
        <v>539</v>
      </c>
      <c r="I123" s="39">
        <v>43606</v>
      </c>
      <c r="J123" s="39">
        <v>43606</v>
      </c>
      <c r="K123" s="24" t="s">
        <v>35</v>
      </c>
      <c r="L123" s="26">
        <v>1386.78</v>
      </c>
      <c r="M123" s="87">
        <v>0</v>
      </c>
      <c r="N123" s="40">
        <v>60</v>
      </c>
      <c r="O123" s="25">
        <v>0</v>
      </c>
      <c r="P123" s="25">
        <v>40</v>
      </c>
      <c r="Q123" s="25"/>
      <c r="R123" s="25">
        <f t="shared" si="1"/>
        <v>40</v>
      </c>
      <c r="S123" s="24">
        <v>4</v>
      </c>
      <c r="T123" s="21" t="s">
        <v>529</v>
      </c>
    </row>
    <row r="124" spans="1:20" ht="23.25" customHeight="1" x14ac:dyDescent="0.25">
      <c r="A124" s="20" t="s">
        <v>540</v>
      </c>
      <c r="B124" s="22">
        <v>2019</v>
      </c>
      <c r="C124" s="90" t="s">
        <v>21</v>
      </c>
      <c r="D124" s="22" t="s">
        <v>541</v>
      </c>
      <c r="E124" s="27" t="s">
        <v>542</v>
      </c>
      <c r="F124" s="29" t="s">
        <v>23</v>
      </c>
      <c r="G124" s="20" t="s">
        <v>24</v>
      </c>
      <c r="H124" s="36" t="s">
        <v>543</v>
      </c>
      <c r="I124" s="37">
        <v>43606</v>
      </c>
      <c r="J124" s="37">
        <v>43608</v>
      </c>
      <c r="K124" s="22" t="s">
        <v>35</v>
      </c>
      <c r="L124" s="28">
        <v>3433.24</v>
      </c>
      <c r="M124" s="86">
        <v>4.7</v>
      </c>
      <c r="N124" s="41">
        <v>20</v>
      </c>
      <c r="O124" s="23">
        <v>12</v>
      </c>
      <c r="P124" s="23">
        <v>0</v>
      </c>
      <c r="Q124" s="23"/>
      <c r="R124" s="23">
        <f t="shared" si="1"/>
        <v>12</v>
      </c>
      <c r="S124" s="22">
        <v>8</v>
      </c>
      <c r="T124" s="20" t="s">
        <v>544</v>
      </c>
    </row>
    <row r="125" spans="1:20" ht="23.25" customHeight="1" x14ac:dyDescent="0.25">
      <c r="A125" s="21" t="s">
        <v>545</v>
      </c>
      <c r="B125" s="24">
        <v>2019</v>
      </c>
      <c r="C125" s="90" t="s">
        <v>21</v>
      </c>
      <c r="D125" s="24" t="s">
        <v>546</v>
      </c>
      <c r="E125" s="30" t="s">
        <v>547</v>
      </c>
      <c r="F125" s="31" t="s">
        <v>23</v>
      </c>
      <c r="G125" s="21" t="s">
        <v>68</v>
      </c>
      <c r="H125" s="38" t="s">
        <v>548</v>
      </c>
      <c r="I125" s="39">
        <v>43607</v>
      </c>
      <c r="J125" s="39">
        <v>43614</v>
      </c>
      <c r="K125" s="24" t="s">
        <v>35</v>
      </c>
      <c r="L125" s="26">
        <v>5384.88</v>
      </c>
      <c r="M125" s="87">
        <v>4.5</v>
      </c>
      <c r="N125" s="40">
        <v>20</v>
      </c>
      <c r="O125" s="25">
        <v>19</v>
      </c>
      <c r="P125" s="25">
        <v>0</v>
      </c>
      <c r="Q125" s="25"/>
      <c r="R125" s="25">
        <f t="shared" si="1"/>
        <v>19</v>
      </c>
      <c r="S125" s="24">
        <v>12</v>
      </c>
      <c r="T125" s="21" t="s">
        <v>549</v>
      </c>
    </row>
    <row r="126" spans="1:20" ht="23.25" customHeight="1" x14ac:dyDescent="0.25">
      <c r="A126" s="20" t="s">
        <v>550</v>
      </c>
      <c r="B126" s="22">
        <v>2019</v>
      </c>
      <c r="C126" s="90" t="s">
        <v>21</v>
      </c>
      <c r="D126" s="22" t="s">
        <v>551</v>
      </c>
      <c r="E126" s="27" t="s">
        <v>552</v>
      </c>
      <c r="F126" s="29" t="s">
        <v>23</v>
      </c>
      <c r="G126" s="20" t="s">
        <v>33</v>
      </c>
      <c r="H126" s="36" t="s">
        <v>553</v>
      </c>
      <c r="I126" s="37">
        <v>43612</v>
      </c>
      <c r="J126" s="37">
        <v>43619</v>
      </c>
      <c r="K126" s="22" t="s">
        <v>35</v>
      </c>
      <c r="L126" s="28">
        <v>2875.02</v>
      </c>
      <c r="M126" s="86">
        <v>4.4000000000000004</v>
      </c>
      <c r="N126" s="41">
        <v>20</v>
      </c>
      <c r="O126" s="23">
        <v>14</v>
      </c>
      <c r="P126" s="23">
        <v>0</v>
      </c>
      <c r="Q126" s="23"/>
      <c r="R126" s="23">
        <f t="shared" si="1"/>
        <v>14</v>
      </c>
      <c r="S126" s="22">
        <v>12</v>
      </c>
      <c r="T126" s="20" t="s">
        <v>554</v>
      </c>
    </row>
    <row r="127" spans="1:20" ht="23.25" customHeight="1" x14ac:dyDescent="0.25">
      <c r="A127" s="21" t="s">
        <v>555</v>
      </c>
      <c r="B127" s="24">
        <v>2019</v>
      </c>
      <c r="C127" s="90" t="s">
        <v>21</v>
      </c>
      <c r="D127" s="24" t="s">
        <v>546</v>
      </c>
      <c r="E127" s="30" t="s">
        <v>556</v>
      </c>
      <c r="F127" s="31" t="s">
        <v>23</v>
      </c>
      <c r="G127" s="21" t="s">
        <v>68</v>
      </c>
      <c r="H127" s="38" t="s">
        <v>557</v>
      </c>
      <c r="I127" s="39">
        <v>43622</v>
      </c>
      <c r="J127" s="39">
        <v>43626</v>
      </c>
      <c r="K127" s="24" t="s">
        <v>35</v>
      </c>
      <c r="L127" s="26">
        <v>5236.26</v>
      </c>
      <c r="M127" s="87">
        <v>5</v>
      </c>
      <c r="N127" s="40">
        <v>20</v>
      </c>
      <c r="O127" s="25">
        <v>19</v>
      </c>
      <c r="P127" s="25">
        <v>0</v>
      </c>
      <c r="Q127" s="25"/>
      <c r="R127" s="25">
        <f t="shared" si="1"/>
        <v>19</v>
      </c>
      <c r="S127" s="24">
        <v>12</v>
      </c>
      <c r="T127" s="21" t="s">
        <v>549</v>
      </c>
    </row>
    <row r="128" spans="1:20" ht="23.25" customHeight="1" x14ac:dyDescent="0.25">
      <c r="A128" s="20" t="s">
        <v>558</v>
      </c>
      <c r="B128" s="22">
        <v>2019</v>
      </c>
      <c r="C128" s="90" t="s">
        <v>21</v>
      </c>
      <c r="D128" s="22" t="s">
        <v>541</v>
      </c>
      <c r="E128" s="27" t="s">
        <v>559</v>
      </c>
      <c r="F128" s="29" t="s">
        <v>23</v>
      </c>
      <c r="G128" s="20" t="s">
        <v>24</v>
      </c>
      <c r="H128" s="36" t="s">
        <v>560</v>
      </c>
      <c r="I128" s="37">
        <v>43633</v>
      </c>
      <c r="J128" s="37">
        <v>43635</v>
      </c>
      <c r="K128" s="22" t="s">
        <v>35</v>
      </c>
      <c r="L128" s="28">
        <v>3280.6</v>
      </c>
      <c r="M128" s="86">
        <v>4.7</v>
      </c>
      <c r="N128" s="41">
        <v>20</v>
      </c>
      <c r="O128" s="23">
        <v>9</v>
      </c>
      <c r="P128" s="23">
        <v>0</v>
      </c>
      <c r="Q128" s="23"/>
      <c r="R128" s="23">
        <f t="shared" si="1"/>
        <v>9</v>
      </c>
      <c r="S128" s="22">
        <v>8</v>
      </c>
      <c r="T128" s="20" t="s">
        <v>544</v>
      </c>
    </row>
    <row r="129" spans="1:20" ht="23.25" customHeight="1" x14ac:dyDescent="0.25">
      <c r="A129" s="21" t="s">
        <v>561</v>
      </c>
      <c r="B129" s="24">
        <v>2019</v>
      </c>
      <c r="C129" s="90" t="s">
        <v>21</v>
      </c>
      <c r="D129" s="24" t="s">
        <v>526</v>
      </c>
      <c r="E129" s="30" t="s">
        <v>562</v>
      </c>
      <c r="F129" s="31" t="s">
        <v>62</v>
      </c>
      <c r="G129" s="21" t="s">
        <v>72</v>
      </c>
      <c r="H129" s="38" t="s">
        <v>563</v>
      </c>
      <c r="I129" s="39">
        <v>43634</v>
      </c>
      <c r="J129" s="39">
        <v>43634</v>
      </c>
      <c r="K129" s="24" t="s">
        <v>35</v>
      </c>
      <c r="L129" s="26">
        <v>1386.78</v>
      </c>
      <c r="M129" s="87">
        <v>0</v>
      </c>
      <c r="N129" s="40">
        <v>60</v>
      </c>
      <c r="O129" s="25">
        <v>0</v>
      </c>
      <c r="P129" s="25">
        <v>45</v>
      </c>
      <c r="Q129" s="25"/>
      <c r="R129" s="25">
        <f t="shared" si="1"/>
        <v>45</v>
      </c>
      <c r="S129" s="24">
        <v>4</v>
      </c>
      <c r="T129" s="21" t="s">
        <v>529</v>
      </c>
    </row>
    <row r="130" spans="1:20" ht="23.25" customHeight="1" x14ac:dyDescent="0.25">
      <c r="A130" s="20" t="s">
        <v>564</v>
      </c>
      <c r="B130" s="22">
        <v>2019</v>
      </c>
      <c r="C130" s="90" t="s">
        <v>21</v>
      </c>
      <c r="D130" s="22" t="s">
        <v>546</v>
      </c>
      <c r="E130" s="27" t="s">
        <v>565</v>
      </c>
      <c r="F130" s="29" t="s">
        <v>62</v>
      </c>
      <c r="G130" s="20" t="s">
        <v>68</v>
      </c>
      <c r="H130" s="36" t="s">
        <v>566</v>
      </c>
      <c r="I130" s="37">
        <v>43643</v>
      </c>
      <c r="J130" s="37">
        <v>43651</v>
      </c>
      <c r="K130" s="22" t="s">
        <v>35</v>
      </c>
      <c r="L130" s="28">
        <v>5236.26</v>
      </c>
      <c r="M130" s="86">
        <v>4.5999999999999996</v>
      </c>
      <c r="N130" s="41">
        <v>30</v>
      </c>
      <c r="O130" s="23">
        <v>0</v>
      </c>
      <c r="P130" s="23">
        <v>25</v>
      </c>
      <c r="Q130" s="23"/>
      <c r="R130" s="23">
        <f t="shared" ref="R130:R193" si="2">SUM(O130:Q130)</f>
        <v>25</v>
      </c>
      <c r="S130" s="22">
        <v>12</v>
      </c>
      <c r="T130" s="20" t="s">
        <v>549</v>
      </c>
    </row>
    <row r="131" spans="1:20" ht="23.25" customHeight="1" x14ac:dyDescent="0.25">
      <c r="A131" s="21" t="s">
        <v>567</v>
      </c>
      <c r="B131" s="24">
        <v>2019</v>
      </c>
      <c r="C131" s="90" t="s">
        <v>21</v>
      </c>
      <c r="D131" s="24" t="s">
        <v>568</v>
      </c>
      <c r="E131" s="30" t="s">
        <v>569</v>
      </c>
      <c r="F131" s="31" t="s">
        <v>23</v>
      </c>
      <c r="G131" s="21" t="s">
        <v>24</v>
      </c>
      <c r="H131" s="38" t="s">
        <v>570</v>
      </c>
      <c r="I131" s="39">
        <v>43647</v>
      </c>
      <c r="J131" s="39">
        <v>43654</v>
      </c>
      <c r="K131" s="24" t="s">
        <v>35</v>
      </c>
      <c r="L131" s="26">
        <v>4731.7</v>
      </c>
      <c r="M131" s="87">
        <v>4.3</v>
      </c>
      <c r="N131" s="40">
        <v>20</v>
      </c>
      <c r="O131" s="25">
        <v>15</v>
      </c>
      <c r="P131" s="25">
        <v>0</v>
      </c>
      <c r="Q131" s="25"/>
      <c r="R131" s="25">
        <f t="shared" si="2"/>
        <v>15</v>
      </c>
      <c r="S131" s="24">
        <v>12</v>
      </c>
      <c r="T131" s="21" t="s">
        <v>571</v>
      </c>
    </row>
    <row r="132" spans="1:20" ht="23.25" customHeight="1" x14ac:dyDescent="0.25">
      <c r="A132" s="20" t="s">
        <v>572</v>
      </c>
      <c r="B132" s="22">
        <v>2019</v>
      </c>
      <c r="C132" s="90" t="s">
        <v>21</v>
      </c>
      <c r="D132" s="22" t="s">
        <v>573</v>
      </c>
      <c r="E132" s="27" t="s">
        <v>574</v>
      </c>
      <c r="F132" s="29" t="s">
        <v>62</v>
      </c>
      <c r="G132" s="20" t="s">
        <v>68</v>
      </c>
      <c r="H132" s="36" t="s">
        <v>575</v>
      </c>
      <c r="I132" s="37">
        <v>43654</v>
      </c>
      <c r="J132" s="37">
        <v>43657</v>
      </c>
      <c r="K132" s="22" t="s">
        <v>35</v>
      </c>
      <c r="L132" s="28">
        <v>6140.72</v>
      </c>
      <c r="M132" s="86">
        <v>4.5999999999999996</v>
      </c>
      <c r="N132" s="41">
        <v>40</v>
      </c>
      <c r="O132" s="23">
        <v>0</v>
      </c>
      <c r="P132" s="23">
        <v>26</v>
      </c>
      <c r="Q132" s="23"/>
      <c r="R132" s="23">
        <f t="shared" si="2"/>
        <v>26</v>
      </c>
      <c r="S132" s="22">
        <v>16</v>
      </c>
      <c r="T132" s="20" t="s">
        <v>464</v>
      </c>
    </row>
    <row r="133" spans="1:20" ht="23.25" customHeight="1" x14ac:dyDescent="0.25">
      <c r="A133" s="21" t="s">
        <v>576</v>
      </c>
      <c r="B133" s="24">
        <v>2019</v>
      </c>
      <c r="C133" s="90" t="s">
        <v>21</v>
      </c>
      <c r="D133" s="24" t="s">
        <v>577</v>
      </c>
      <c r="E133" s="30" t="s">
        <v>578</v>
      </c>
      <c r="F133" s="31" t="s">
        <v>23</v>
      </c>
      <c r="G133" s="21" t="s">
        <v>24</v>
      </c>
      <c r="H133" s="38" t="s">
        <v>579</v>
      </c>
      <c r="I133" s="39">
        <v>43658</v>
      </c>
      <c r="J133" s="39">
        <v>43661</v>
      </c>
      <c r="K133" s="24" t="s">
        <v>35</v>
      </c>
      <c r="L133" s="26">
        <v>3260.66</v>
      </c>
      <c r="M133" s="87">
        <v>4.5999999999999996</v>
      </c>
      <c r="N133" s="40">
        <v>20</v>
      </c>
      <c r="O133" s="25">
        <v>16</v>
      </c>
      <c r="P133" s="25">
        <v>0</v>
      </c>
      <c r="Q133" s="25"/>
      <c r="R133" s="25">
        <f t="shared" si="2"/>
        <v>16</v>
      </c>
      <c r="S133" s="24">
        <v>8</v>
      </c>
      <c r="T133" s="21" t="s">
        <v>580</v>
      </c>
    </row>
    <row r="134" spans="1:20" ht="23.25" customHeight="1" x14ac:dyDescent="0.25">
      <c r="A134" s="20" t="s">
        <v>581</v>
      </c>
      <c r="B134" s="22">
        <v>2019</v>
      </c>
      <c r="C134" s="90" t="s">
        <v>21</v>
      </c>
      <c r="D134" s="22" t="s">
        <v>577</v>
      </c>
      <c r="E134" s="27" t="s">
        <v>582</v>
      </c>
      <c r="F134" s="29" t="s">
        <v>23</v>
      </c>
      <c r="G134" s="20" t="s">
        <v>24</v>
      </c>
      <c r="H134" s="36" t="s">
        <v>583</v>
      </c>
      <c r="I134" s="37">
        <v>43678</v>
      </c>
      <c r="J134" s="37">
        <v>43683</v>
      </c>
      <c r="K134" s="22" t="s">
        <v>35</v>
      </c>
      <c r="L134" s="28">
        <v>3260.66</v>
      </c>
      <c r="M134" s="86">
        <v>4.8</v>
      </c>
      <c r="N134" s="41">
        <v>20</v>
      </c>
      <c r="O134" s="23">
        <v>15</v>
      </c>
      <c r="P134" s="23">
        <v>0</v>
      </c>
      <c r="Q134" s="23"/>
      <c r="R134" s="23">
        <f t="shared" si="2"/>
        <v>15</v>
      </c>
      <c r="S134" s="22">
        <v>8</v>
      </c>
      <c r="T134" s="20" t="s">
        <v>584</v>
      </c>
    </row>
    <row r="135" spans="1:20" ht="23.25" customHeight="1" x14ac:dyDescent="0.25">
      <c r="A135" s="21" t="s">
        <v>585</v>
      </c>
      <c r="B135" s="24">
        <v>2019</v>
      </c>
      <c r="C135" s="90" t="s">
        <v>21</v>
      </c>
      <c r="D135" s="24" t="s">
        <v>568</v>
      </c>
      <c r="E135" s="30" t="s">
        <v>586</v>
      </c>
      <c r="F135" s="31" t="s">
        <v>23</v>
      </c>
      <c r="G135" s="21" t="s">
        <v>24</v>
      </c>
      <c r="H135" s="38" t="s">
        <v>587</v>
      </c>
      <c r="I135" s="39">
        <v>43690</v>
      </c>
      <c r="J135" s="39">
        <v>43697</v>
      </c>
      <c r="K135" s="24" t="s">
        <v>35</v>
      </c>
      <c r="L135" s="26">
        <v>4605.54</v>
      </c>
      <c r="M135" s="87">
        <v>4.4000000000000004</v>
      </c>
      <c r="N135" s="40">
        <v>20</v>
      </c>
      <c r="O135" s="25">
        <v>14</v>
      </c>
      <c r="P135" s="25">
        <v>0</v>
      </c>
      <c r="Q135" s="25"/>
      <c r="R135" s="25">
        <f t="shared" si="2"/>
        <v>14</v>
      </c>
      <c r="S135" s="24">
        <v>12</v>
      </c>
      <c r="T135" s="21" t="s">
        <v>571</v>
      </c>
    </row>
    <row r="136" spans="1:20" ht="23.25" customHeight="1" x14ac:dyDescent="0.25">
      <c r="A136" s="20" t="s">
        <v>588</v>
      </c>
      <c r="B136" s="22">
        <v>2019</v>
      </c>
      <c r="C136" s="90" t="s">
        <v>21</v>
      </c>
      <c r="D136" s="22" t="s">
        <v>589</v>
      </c>
      <c r="E136" s="27" t="s">
        <v>590</v>
      </c>
      <c r="F136" s="29" t="s">
        <v>62</v>
      </c>
      <c r="G136" s="20" t="s">
        <v>72</v>
      </c>
      <c r="H136" s="36" t="s">
        <v>591</v>
      </c>
      <c r="I136" s="37">
        <v>43696</v>
      </c>
      <c r="J136" s="37">
        <v>43698</v>
      </c>
      <c r="K136" s="22" t="s">
        <v>35</v>
      </c>
      <c r="L136" s="28">
        <v>0</v>
      </c>
      <c r="M136" s="86">
        <v>4.5</v>
      </c>
      <c r="N136" s="41">
        <v>450</v>
      </c>
      <c r="O136" s="23">
        <v>46</v>
      </c>
      <c r="P136" s="23">
        <v>136</v>
      </c>
      <c r="Q136" s="23"/>
      <c r="R136" s="23">
        <f t="shared" si="2"/>
        <v>182</v>
      </c>
      <c r="S136" s="22">
        <v>8</v>
      </c>
      <c r="T136" s="20" t="s">
        <v>592</v>
      </c>
    </row>
    <row r="137" spans="1:20" ht="23.25" customHeight="1" x14ac:dyDescent="0.25">
      <c r="A137" s="21" t="s">
        <v>593</v>
      </c>
      <c r="B137" s="24">
        <v>2019</v>
      </c>
      <c r="C137" s="90" t="s">
        <v>21</v>
      </c>
      <c r="D137" s="24" t="s">
        <v>573</v>
      </c>
      <c r="E137" s="30" t="s">
        <v>594</v>
      </c>
      <c r="F137" s="31" t="s">
        <v>62</v>
      </c>
      <c r="G137" s="21" t="s">
        <v>68</v>
      </c>
      <c r="H137" s="38" t="s">
        <v>595</v>
      </c>
      <c r="I137" s="39">
        <v>43703</v>
      </c>
      <c r="J137" s="39">
        <v>43706</v>
      </c>
      <c r="K137" s="24" t="s">
        <v>35</v>
      </c>
      <c r="L137" s="26">
        <v>5299.68</v>
      </c>
      <c r="M137" s="87">
        <v>4.5999999999999996</v>
      </c>
      <c r="N137" s="40">
        <v>40</v>
      </c>
      <c r="O137" s="25">
        <v>0</v>
      </c>
      <c r="P137" s="25">
        <v>34</v>
      </c>
      <c r="Q137" s="25"/>
      <c r="R137" s="25">
        <f t="shared" si="2"/>
        <v>34</v>
      </c>
      <c r="S137" s="24">
        <v>16</v>
      </c>
      <c r="T137" s="21" t="s">
        <v>464</v>
      </c>
    </row>
    <row r="138" spans="1:20" ht="23.25" customHeight="1" x14ac:dyDescent="0.25">
      <c r="A138" s="20" t="s">
        <v>596</v>
      </c>
      <c r="B138" s="22">
        <v>2019</v>
      </c>
      <c r="C138" s="90" t="s">
        <v>21</v>
      </c>
      <c r="D138" s="22" t="s">
        <v>597</v>
      </c>
      <c r="E138" s="27" t="s">
        <v>598</v>
      </c>
      <c r="F138" s="29" t="s">
        <v>23</v>
      </c>
      <c r="G138" s="20" t="s">
        <v>199</v>
      </c>
      <c r="H138" s="36" t="s">
        <v>599</v>
      </c>
      <c r="I138" s="37">
        <v>43703</v>
      </c>
      <c r="J138" s="37">
        <v>43737</v>
      </c>
      <c r="K138" s="22" t="s">
        <v>26</v>
      </c>
      <c r="L138" s="28">
        <v>7980</v>
      </c>
      <c r="M138" s="86">
        <v>4.7</v>
      </c>
      <c r="N138" s="41">
        <v>20</v>
      </c>
      <c r="O138" s="23">
        <v>17</v>
      </c>
      <c r="P138" s="23">
        <v>0</v>
      </c>
      <c r="Q138" s="23">
        <v>0</v>
      </c>
      <c r="R138" s="23">
        <f t="shared" si="2"/>
        <v>17</v>
      </c>
      <c r="S138" s="22">
        <v>16</v>
      </c>
      <c r="T138" s="20" t="s">
        <v>600</v>
      </c>
    </row>
    <row r="139" spans="1:20" ht="23.25" customHeight="1" x14ac:dyDescent="0.25">
      <c r="A139" s="21" t="s">
        <v>601</v>
      </c>
      <c r="B139" s="24">
        <v>2019</v>
      </c>
      <c r="C139" s="90" t="s">
        <v>21</v>
      </c>
      <c r="D139" s="24" t="s">
        <v>506</v>
      </c>
      <c r="E139" s="30" t="s">
        <v>602</v>
      </c>
      <c r="F139" s="31" t="s">
        <v>23</v>
      </c>
      <c r="G139" s="21" t="s">
        <v>364</v>
      </c>
      <c r="H139" s="38" t="s">
        <v>603</v>
      </c>
      <c r="I139" s="39">
        <v>43710</v>
      </c>
      <c r="J139" s="39">
        <v>43717</v>
      </c>
      <c r="K139" s="24" t="s">
        <v>35</v>
      </c>
      <c r="L139" s="26">
        <v>6624.6</v>
      </c>
      <c r="M139" s="87">
        <v>4.7</v>
      </c>
      <c r="N139" s="40">
        <v>21</v>
      </c>
      <c r="O139" s="25">
        <v>20</v>
      </c>
      <c r="P139" s="25">
        <v>0</v>
      </c>
      <c r="Q139" s="25"/>
      <c r="R139" s="25">
        <f t="shared" si="2"/>
        <v>20</v>
      </c>
      <c r="S139" s="24">
        <v>20</v>
      </c>
      <c r="T139" s="21" t="s">
        <v>509</v>
      </c>
    </row>
    <row r="140" spans="1:20" ht="23.25" customHeight="1" x14ac:dyDescent="0.25">
      <c r="A140" s="20" t="s">
        <v>604</v>
      </c>
      <c r="B140" s="22">
        <v>2019</v>
      </c>
      <c r="C140" s="90" t="s">
        <v>21</v>
      </c>
      <c r="D140" s="22" t="s">
        <v>516</v>
      </c>
      <c r="E140" s="27" t="s">
        <v>605</v>
      </c>
      <c r="F140" s="29" t="s">
        <v>23</v>
      </c>
      <c r="G140" s="20" t="s">
        <v>364</v>
      </c>
      <c r="H140" s="36" t="s">
        <v>606</v>
      </c>
      <c r="I140" s="37">
        <v>43719</v>
      </c>
      <c r="J140" s="37">
        <v>43728</v>
      </c>
      <c r="K140" s="22" t="s">
        <v>35</v>
      </c>
      <c r="L140" s="28">
        <v>7675.9</v>
      </c>
      <c r="M140" s="86">
        <v>4.5</v>
      </c>
      <c r="N140" s="41">
        <v>41</v>
      </c>
      <c r="O140" s="23">
        <v>40</v>
      </c>
      <c r="P140" s="23">
        <v>0</v>
      </c>
      <c r="Q140" s="23"/>
      <c r="R140" s="23">
        <f t="shared" si="2"/>
        <v>40</v>
      </c>
      <c r="S140" s="22">
        <v>20</v>
      </c>
      <c r="T140" s="20" t="s">
        <v>607</v>
      </c>
    </row>
    <row r="141" spans="1:20" ht="23.25" customHeight="1" x14ac:dyDescent="0.25">
      <c r="A141" s="21" t="s">
        <v>608</v>
      </c>
      <c r="B141" s="24">
        <v>2019</v>
      </c>
      <c r="C141" s="90" t="s">
        <v>21</v>
      </c>
      <c r="D141" s="24" t="s">
        <v>609</v>
      </c>
      <c r="E141" s="30" t="s">
        <v>610</v>
      </c>
      <c r="F141" s="31" t="s">
        <v>23</v>
      </c>
      <c r="G141" s="21" t="s">
        <v>199</v>
      </c>
      <c r="H141" s="38" t="s">
        <v>611</v>
      </c>
      <c r="I141" s="39">
        <v>43719</v>
      </c>
      <c r="J141" s="39">
        <v>43747</v>
      </c>
      <c r="K141" s="24" t="s">
        <v>35</v>
      </c>
      <c r="L141" s="26">
        <v>4731.7</v>
      </c>
      <c r="M141" s="87">
        <v>4.5999999999999996</v>
      </c>
      <c r="N141" s="40">
        <v>15</v>
      </c>
      <c r="O141" s="25">
        <v>12</v>
      </c>
      <c r="P141" s="25">
        <v>0</v>
      </c>
      <c r="Q141" s="25">
        <v>0</v>
      </c>
      <c r="R141" s="25">
        <f t="shared" si="2"/>
        <v>12</v>
      </c>
      <c r="S141" s="24">
        <v>12</v>
      </c>
      <c r="T141" s="21" t="s">
        <v>612</v>
      </c>
    </row>
    <row r="142" spans="1:20" ht="23.25" customHeight="1" x14ac:dyDescent="0.25">
      <c r="A142" s="20" t="s">
        <v>613</v>
      </c>
      <c r="B142" s="22">
        <v>2019</v>
      </c>
      <c r="C142" s="90" t="s">
        <v>21</v>
      </c>
      <c r="D142" s="22" t="s">
        <v>614</v>
      </c>
      <c r="E142" s="27" t="s">
        <v>615</v>
      </c>
      <c r="F142" s="29" t="s">
        <v>23</v>
      </c>
      <c r="G142" s="20" t="s">
        <v>82</v>
      </c>
      <c r="H142" s="36" t="s">
        <v>616</v>
      </c>
      <c r="I142" s="37">
        <v>43724</v>
      </c>
      <c r="J142" s="37">
        <v>43728</v>
      </c>
      <c r="K142" s="22" t="s">
        <v>26</v>
      </c>
      <c r="L142" s="28">
        <v>6065.18</v>
      </c>
      <c r="M142" s="86">
        <v>4.5999999999999996</v>
      </c>
      <c r="N142" s="41">
        <v>31</v>
      </c>
      <c r="O142" s="23">
        <v>12</v>
      </c>
      <c r="P142" s="23">
        <v>0</v>
      </c>
      <c r="Q142" s="23"/>
      <c r="R142" s="23">
        <f t="shared" si="2"/>
        <v>12</v>
      </c>
      <c r="S142" s="22">
        <v>16</v>
      </c>
      <c r="T142" s="20" t="s">
        <v>617</v>
      </c>
    </row>
    <row r="143" spans="1:20" ht="23.25" customHeight="1" x14ac:dyDescent="0.25">
      <c r="A143" s="21" t="s">
        <v>618</v>
      </c>
      <c r="B143" s="24">
        <v>2019</v>
      </c>
      <c r="C143" s="90" t="s">
        <v>21</v>
      </c>
      <c r="D143" s="24" t="s">
        <v>546</v>
      </c>
      <c r="E143" s="30" t="s">
        <v>619</v>
      </c>
      <c r="F143" s="31" t="s">
        <v>23</v>
      </c>
      <c r="G143" s="21" t="s">
        <v>68</v>
      </c>
      <c r="H143" s="38" t="s">
        <v>620</v>
      </c>
      <c r="I143" s="39">
        <v>43726</v>
      </c>
      <c r="J143" s="39">
        <v>43731</v>
      </c>
      <c r="K143" s="24" t="s">
        <v>35</v>
      </c>
      <c r="L143" s="26">
        <v>5236.26</v>
      </c>
      <c r="M143" s="87">
        <v>4.5</v>
      </c>
      <c r="N143" s="40">
        <v>20</v>
      </c>
      <c r="O143" s="25">
        <v>19</v>
      </c>
      <c r="P143" s="25">
        <v>0</v>
      </c>
      <c r="Q143" s="25"/>
      <c r="R143" s="25">
        <f t="shared" si="2"/>
        <v>19</v>
      </c>
      <c r="S143" s="24">
        <v>12</v>
      </c>
      <c r="T143" s="21" t="s">
        <v>549</v>
      </c>
    </row>
    <row r="144" spans="1:20" ht="23.25" customHeight="1" x14ac:dyDescent="0.25">
      <c r="A144" s="20" t="s">
        <v>621</v>
      </c>
      <c r="B144" s="22">
        <v>2019</v>
      </c>
      <c r="C144" s="90" t="s">
        <v>21</v>
      </c>
      <c r="D144" s="22" t="s">
        <v>622</v>
      </c>
      <c r="E144" s="27" t="s">
        <v>623</v>
      </c>
      <c r="F144" s="29" t="s">
        <v>23</v>
      </c>
      <c r="G144" s="20" t="s">
        <v>68</v>
      </c>
      <c r="H144" s="36" t="s">
        <v>624</v>
      </c>
      <c r="I144" s="37">
        <v>43731</v>
      </c>
      <c r="J144" s="37">
        <v>43735</v>
      </c>
      <c r="K144" s="22" t="s">
        <v>35</v>
      </c>
      <c r="L144" s="28">
        <v>8727.1</v>
      </c>
      <c r="M144" s="86">
        <v>4.5999999999999996</v>
      </c>
      <c r="N144" s="41">
        <v>15</v>
      </c>
      <c r="O144" s="23">
        <v>12</v>
      </c>
      <c r="P144" s="23">
        <v>0</v>
      </c>
      <c r="Q144" s="23"/>
      <c r="R144" s="23">
        <f t="shared" si="2"/>
        <v>12</v>
      </c>
      <c r="S144" s="22">
        <v>20</v>
      </c>
      <c r="T144" s="20" t="s">
        <v>74</v>
      </c>
    </row>
    <row r="145" spans="1:20" ht="23.25" customHeight="1" x14ac:dyDescent="0.25">
      <c r="A145" s="21" t="s">
        <v>625</v>
      </c>
      <c r="B145" s="24">
        <v>2019</v>
      </c>
      <c r="C145" s="90" t="s">
        <v>21</v>
      </c>
      <c r="D145" s="24" t="s">
        <v>626</v>
      </c>
      <c r="E145" s="30" t="s">
        <v>627</v>
      </c>
      <c r="F145" s="31" t="s">
        <v>23</v>
      </c>
      <c r="G145" s="21" t="s">
        <v>199</v>
      </c>
      <c r="H145" s="38" t="s">
        <v>628</v>
      </c>
      <c r="I145" s="39">
        <v>43739</v>
      </c>
      <c r="J145" s="39">
        <v>43741</v>
      </c>
      <c r="K145" s="24" t="s">
        <v>26</v>
      </c>
      <c r="L145" s="26">
        <v>9240.5</v>
      </c>
      <c r="M145" s="87">
        <v>4.5999999999999996</v>
      </c>
      <c r="N145" s="24">
        <v>35</v>
      </c>
      <c r="O145" s="25">
        <v>31</v>
      </c>
      <c r="P145" s="25">
        <v>0</v>
      </c>
      <c r="Q145" s="25">
        <v>0</v>
      </c>
      <c r="R145" s="25">
        <f t="shared" si="2"/>
        <v>31</v>
      </c>
      <c r="S145" s="24">
        <v>12</v>
      </c>
      <c r="T145" s="21" t="s">
        <v>629</v>
      </c>
    </row>
    <row r="146" spans="1:20" ht="23.25" customHeight="1" x14ac:dyDescent="0.25">
      <c r="A146" s="20" t="s">
        <v>630</v>
      </c>
      <c r="B146" s="22">
        <v>2019</v>
      </c>
      <c r="C146" s="90" t="s">
        <v>21</v>
      </c>
      <c r="D146" s="22" t="s">
        <v>573</v>
      </c>
      <c r="E146" s="27" t="s">
        <v>631</v>
      </c>
      <c r="F146" s="29" t="s">
        <v>62</v>
      </c>
      <c r="G146" s="20" t="s">
        <v>68</v>
      </c>
      <c r="H146" s="36" t="s">
        <v>632</v>
      </c>
      <c r="I146" s="37">
        <v>43745</v>
      </c>
      <c r="J146" s="37">
        <v>43748</v>
      </c>
      <c r="K146" s="22" t="s">
        <v>35</v>
      </c>
      <c r="L146" s="28">
        <v>5299.68</v>
      </c>
      <c r="M146" s="86">
        <v>4.7</v>
      </c>
      <c r="N146" s="41">
        <v>40</v>
      </c>
      <c r="O146" s="23">
        <v>0</v>
      </c>
      <c r="P146" s="23">
        <v>27</v>
      </c>
      <c r="Q146" s="23"/>
      <c r="R146" s="23">
        <f t="shared" si="2"/>
        <v>27</v>
      </c>
      <c r="S146" s="22">
        <v>16</v>
      </c>
      <c r="T146" s="20" t="s">
        <v>464</v>
      </c>
    </row>
    <row r="147" spans="1:20" ht="23.25" customHeight="1" x14ac:dyDescent="0.25">
      <c r="A147" s="21" t="s">
        <v>633</v>
      </c>
      <c r="B147" s="24">
        <v>2019</v>
      </c>
      <c r="C147" s="90" t="s">
        <v>21</v>
      </c>
      <c r="D147" s="24"/>
      <c r="E147" s="30" t="s">
        <v>634</v>
      </c>
      <c r="F147" s="31" t="s">
        <v>23</v>
      </c>
      <c r="G147" s="21" t="s">
        <v>68</v>
      </c>
      <c r="H147" s="38" t="s">
        <v>635</v>
      </c>
      <c r="I147" s="39">
        <v>43749</v>
      </c>
      <c r="J147" s="39">
        <v>43749</v>
      </c>
      <c r="K147" s="24" t="s">
        <v>26</v>
      </c>
      <c r="L147" s="26">
        <v>0</v>
      </c>
      <c r="M147" s="87">
        <v>0</v>
      </c>
      <c r="N147" s="40">
        <v>60</v>
      </c>
      <c r="O147" s="25">
        <v>54</v>
      </c>
      <c r="P147" s="25">
        <v>0</v>
      </c>
      <c r="Q147" s="25">
        <v>0</v>
      </c>
      <c r="R147" s="25">
        <f t="shared" si="2"/>
        <v>54</v>
      </c>
      <c r="S147" s="24">
        <v>1.5</v>
      </c>
      <c r="T147" s="21" t="s">
        <v>636</v>
      </c>
    </row>
    <row r="148" spans="1:20" ht="23.25" customHeight="1" x14ac:dyDescent="0.25">
      <c r="A148" s="20" t="s">
        <v>637</v>
      </c>
      <c r="B148" s="22">
        <v>2019</v>
      </c>
      <c r="C148" s="90" t="s">
        <v>21</v>
      </c>
      <c r="D148" s="22" t="s">
        <v>638</v>
      </c>
      <c r="E148" s="27" t="s">
        <v>639</v>
      </c>
      <c r="F148" s="29" t="s">
        <v>23</v>
      </c>
      <c r="G148" s="20" t="s">
        <v>33</v>
      </c>
      <c r="H148" s="36" t="s">
        <v>640</v>
      </c>
      <c r="I148" s="37">
        <v>43752</v>
      </c>
      <c r="J148" s="37">
        <v>43756</v>
      </c>
      <c r="K148" s="22" t="s">
        <v>35</v>
      </c>
      <c r="L148" s="28">
        <v>0</v>
      </c>
      <c r="M148" s="86">
        <v>4.33</v>
      </c>
      <c r="N148" s="41">
        <v>20</v>
      </c>
      <c r="O148" s="23">
        <v>9</v>
      </c>
      <c r="P148" s="23">
        <v>0</v>
      </c>
      <c r="Q148" s="23"/>
      <c r="R148" s="23">
        <f t="shared" si="2"/>
        <v>9</v>
      </c>
      <c r="S148" s="22">
        <v>12</v>
      </c>
      <c r="T148" s="20" t="s">
        <v>641</v>
      </c>
    </row>
    <row r="149" spans="1:20" ht="23.25" customHeight="1" x14ac:dyDescent="0.25">
      <c r="A149" s="21" t="s">
        <v>642</v>
      </c>
      <c r="B149" s="24">
        <v>2019</v>
      </c>
      <c r="C149" s="90" t="s">
        <v>21</v>
      </c>
      <c r="D149" s="24" t="s">
        <v>526</v>
      </c>
      <c r="E149" s="30" t="s">
        <v>643</v>
      </c>
      <c r="F149" s="31" t="s">
        <v>62</v>
      </c>
      <c r="G149" s="21" t="s">
        <v>72</v>
      </c>
      <c r="H149" s="38" t="s">
        <v>644</v>
      </c>
      <c r="I149" s="39">
        <v>43767</v>
      </c>
      <c r="J149" s="39">
        <v>43767</v>
      </c>
      <c r="K149" s="24" t="s">
        <v>35</v>
      </c>
      <c r="L149" s="26">
        <v>1386.78</v>
      </c>
      <c r="M149" s="87">
        <v>4.4000000000000004</v>
      </c>
      <c r="N149" s="40">
        <v>60</v>
      </c>
      <c r="O149" s="25">
        <v>0</v>
      </c>
      <c r="P149" s="25">
        <v>38</v>
      </c>
      <c r="Q149" s="25"/>
      <c r="R149" s="25">
        <f t="shared" si="2"/>
        <v>38</v>
      </c>
      <c r="S149" s="24">
        <v>4</v>
      </c>
      <c r="T149" s="21" t="s">
        <v>645</v>
      </c>
    </row>
    <row r="150" spans="1:20" ht="23.25" customHeight="1" x14ac:dyDescent="0.25">
      <c r="A150" s="20" t="s">
        <v>646</v>
      </c>
      <c r="B150" s="22">
        <v>2019</v>
      </c>
      <c r="C150" s="90" t="s">
        <v>21</v>
      </c>
      <c r="D150" s="22" t="s">
        <v>526</v>
      </c>
      <c r="E150" s="27" t="s">
        <v>647</v>
      </c>
      <c r="F150" s="29" t="s">
        <v>62</v>
      </c>
      <c r="G150" s="20" t="s">
        <v>72</v>
      </c>
      <c r="H150" s="36" t="s">
        <v>648</v>
      </c>
      <c r="I150" s="37">
        <v>43774</v>
      </c>
      <c r="J150" s="37">
        <v>43774</v>
      </c>
      <c r="K150" s="22" t="s">
        <v>35</v>
      </c>
      <c r="L150" s="28">
        <v>1386.78</v>
      </c>
      <c r="M150" s="86">
        <v>3.88</v>
      </c>
      <c r="N150" s="41">
        <v>60</v>
      </c>
      <c r="O150" s="23">
        <v>0</v>
      </c>
      <c r="P150" s="23">
        <v>62</v>
      </c>
      <c r="Q150" s="23"/>
      <c r="R150" s="23">
        <f t="shared" si="2"/>
        <v>62</v>
      </c>
      <c r="S150" s="22">
        <v>4</v>
      </c>
      <c r="T150" s="20" t="s">
        <v>645</v>
      </c>
    </row>
    <row r="151" spans="1:20" ht="23.25" customHeight="1" x14ac:dyDescent="0.25">
      <c r="A151" s="21" t="s">
        <v>649</v>
      </c>
      <c r="B151" s="24">
        <v>2019</v>
      </c>
      <c r="C151" s="90" t="s">
        <v>21</v>
      </c>
      <c r="D151" s="24" t="s">
        <v>568</v>
      </c>
      <c r="E151" s="30" t="s">
        <v>650</v>
      </c>
      <c r="F151" s="31" t="s">
        <v>62</v>
      </c>
      <c r="G151" s="21" t="s">
        <v>24</v>
      </c>
      <c r="H151" s="38" t="s">
        <v>651</v>
      </c>
      <c r="I151" s="39">
        <v>43774</v>
      </c>
      <c r="J151" s="39">
        <v>43788</v>
      </c>
      <c r="K151" s="24" t="s">
        <v>35</v>
      </c>
      <c r="L151" s="26">
        <v>6140.72</v>
      </c>
      <c r="M151" s="87">
        <v>3.8</v>
      </c>
      <c r="N151" s="40">
        <v>20</v>
      </c>
      <c r="O151" s="25">
        <v>0</v>
      </c>
      <c r="P151" s="25">
        <v>13</v>
      </c>
      <c r="Q151" s="25"/>
      <c r="R151" s="25">
        <f t="shared" si="2"/>
        <v>13</v>
      </c>
      <c r="S151" s="24">
        <v>16</v>
      </c>
      <c r="T151" s="21" t="s">
        <v>571</v>
      </c>
    </row>
    <row r="152" spans="1:20" ht="23.25" customHeight="1" x14ac:dyDescent="0.25">
      <c r="A152" s="20" t="s">
        <v>652</v>
      </c>
      <c r="B152" s="22">
        <v>2019</v>
      </c>
      <c r="C152" s="90" t="s">
        <v>21</v>
      </c>
      <c r="D152" s="22" t="s">
        <v>638</v>
      </c>
      <c r="E152" s="27" t="s">
        <v>653</v>
      </c>
      <c r="F152" s="29" t="s">
        <v>23</v>
      </c>
      <c r="G152" s="20" t="s">
        <v>33</v>
      </c>
      <c r="H152" s="36" t="s">
        <v>654</v>
      </c>
      <c r="I152" s="37">
        <v>43787</v>
      </c>
      <c r="J152" s="37">
        <v>43791</v>
      </c>
      <c r="K152" s="22" t="s">
        <v>35</v>
      </c>
      <c r="L152" s="28">
        <v>0</v>
      </c>
      <c r="M152" s="86">
        <v>4.3</v>
      </c>
      <c r="N152" s="41">
        <v>20</v>
      </c>
      <c r="O152" s="23">
        <v>8</v>
      </c>
      <c r="P152" s="23">
        <v>0</v>
      </c>
      <c r="Q152" s="23"/>
      <c r="R152" s="23">
        <f t="shared" si="2"/>
        <v>8</v>
      </c>
      <c r="S152" s="22">
        <v>12</v>
      </c>
      <c r="T152" s="20" t="s">
        <v>641</v>
      </c>
    </row>
    <row r="153" spans="1:20" ht="23.25" customHeight="1" x14ac:dyDescent="0.25">
      <c r="A153" s="21" t="s">
        <v>655</v>
      </c>
      <c r="B153" s="24">
        <v>2019</v>
      </c>
      <c r="C153" s="90" t="s">
        <v>21</v>
      </c>
      <c r="D153" s="24" t="s">
        <v>656</v>
      </c>
      <c r="E153" s="30" t="s">
        <v>657</v>
      </c>
      <c r="F153" s="31" t="s">
        <v>23</v>
      </c>
      <c r="G153" s="21" t="s">
        <v>68</v>
      </c>
      <c r="H153" s="38" t="s">
        <v>658</v>
      </c>
      <c r="I153" s="39">
        <v>43788</v>
      </c>
      <c r="J153" s="39">
        <v>43798</v>
      </c>
      <c r="K153" s="24" t="s">
        <v>35</v>
      </c>
      <c r="L153" s="26">
        <v>7493.04</v>
      </c>
      <c r="M153" s="87">
        <v>4.7699999999999996</v>
      </c>
      <c r="N153" s="40">
        <v>30</v>
      </c>
      <c r="O153" s="25">
        <v>20</v>
      </c>
      <c r="P153" s="25">
        <v>0</v>
      </c>
      <c r="Q153" s="25"/>
      <c r="R153" s="25">
        <f t="shared" si="2"/>
        <v>20</v>
      </c>
      <c r="S153" s="24">
        <v>20</v>
      </c>
      <c r="T153" s="21" t="s">
        <v>659</v>
      </c>
    </row>
    <row r="154" spans="1:20" ht="23.25" customHeight="1" x14ac:dyDescent="0.25">
      <c r="A154" s="20" t="s">
        <v>660</v>
      </c>
      <c r="B154" s="22">
        <v>2019</v>
      </c>
      <c r="C154" s="90" t="s">
        <v>21</v>
      </c>
      <c r="D154" s="22" t="s">
        <v>661</v>
      </c>
      <c r="E154" s="27" t="s">
        <v>662</v>
      </c>
      <c r="F154" s="29" t="s">
        <v>23</v>
      </c>
      <c r="G154" s="20" t="s">
        <v>199</v>
      </c>
      <c r="H154" s="36" t="s">
        <v>663</v>
      </c>
      <c r="I154" s="37">
        <v>43795</v>
      </c>
      <c r="J154" s="37">
        <v>43795</v>
      </c>
      <c r="K154" s="22" t="s">
        <v>35</v>
      </c>
      <c r="L154" s="28">
        <v>0</v>
      </c>
      <c r="M154" s="86">
        <v>5</v>
      </c>
      <c r="N154" s="41">
        <v>90</v>
      </c>
      <c r="O154" s="23">
        <v>74</v>
      </c>
      <c r="P154" s="23">
        <v>0</v>
      </c>
      <c r="Q154" s="23">
        <v>0</v>
      </c>
      <c r="R154" s="23">
        <f t="shared" si="2"/>
        <v>74</v>
      </c>
      <c r="S154" s="22">
        <v>1.5</v>
      </c>
      <c r="T154" s="20" t="s">
        <v>664</v>
      </c>
    </row>
    <row r="155" spans="1:20" ht="23.25" customHeight="1" x14ac:dyDescent="0.25">
      <c r="A155" s="21" t="s">
        <v>665</v>
      </c>
      <c r="B155" s="24">
        <v>2019</v>
      </c>
      <c r="C155" s="90" t="s">
        <v>21</v>
      </c>
      <c r="D155" s="24" t="s">
        <v>656</v>
      </c>
      <c r="E155" s="30" t="s">
        <v>666</v>
      </c>
      <c r="F155" s="31" t="s">
        <v>23</v>
      </c>
      <c r="G155" s="21" t="s">
        <v>68</v>
      </c>
      <c r="H155" s="38" t="s">
        <v>667</v>
      </c>
      <c r="I155" s="39">
        <v>43801</v>
      </c>
      <c r="J155" s="39">
        <v>43811</v>
      </c>
      <c r="K155" s="24" t="s">
        <v>35</v>
      </c>
      <c r="L155" s="26">
        <v>7493.04</v>
      </c>
      <c r="M155" s="87">
        <v>4.4000000000000004</v>
      </c>
      <c r="N155" s="40">
        <v>30</v>
      </c>
      <c r="O155" s="25">
        <v>24</v>
      </c>
      <c r="P155" s="25">
        <v>0</v>
      </c>
      <c r="Q155" s="25"/>
      <c r="R155" s="25">
        <f t="shared" si="2"/>
        <v>24</v>
      </c>
      <c r="S155" s="24">
        <v>20</v>
      </c>
      <c r="T155" s="21" t="s">
        <v>659</v>
      </c>
    </row>
    <row r="156" spans="1:20" ht="23.25" customHeight="1" x14ac:dyDescent="0.25">
      <c r="A156" s="20" t="s">
        <v>668</v>
      </c>
      <c r="B156" s="22">
        <v>2020</v>
      </c>
      <c r="C156" s="90" t="s">
        <v>21</v>
      </c>
      <c r="D156" s="22" t="s">
        <v>669</v>
      </c>
      <c r="E156" s="27" t="s">
        <v>670</v>
      </c>
      <c r="F156" s="29" t="s">
        <v>23</v>
      </c>
      <c r="G156" s="20" t="s">
        <v>38</v>
      </c>
      <c r="H156" s="36" t="s">
        <v>671</v>
      </c>
      <c r="I156" s="37">
        <v>43854</v>
      </c>
      <c r="J156" s="37">
        <v>43854</v>
      </c>
      <c r="K156" s="22" t="s">
        <v>26</v>
      </c>
      <c r="L156" s="28">
        <v>0</v>
      </c>
      <c r="M156" s="86">
        <v>5</v>
      </c>
      <c r="N156" s="41">
        <v>20</v>
      </c>
      <c r="O156" s="23">
        <v>21</v>
      </c>
      <c r="P156" s="23">
        <v>0</v>
      </c>
      <c r="Q156" s="23">
        <v>0</v>
      </c>
      <c r="R156" s="23">
        <f t="shared" si="2"/>
        <v>21</v>
      </c>
      <c r="S156" s="22">
        <v>2</v>
      </c>
      <c r="T156" s="20" t="s">
        <v>672</v>
      </c>
    </row>
    <row r="157" spans="1:20" ht="23.25" customHeight="1" x14ac:dyDescent="0.25">
      <c r="A157" s="21" t="s">
        <v>673</v>
      </c>
      <c r="B157" s="24">
        <v>2020</v>
      </c>
      <c r="C157" s="90" t="s">
        <v>21</v>
      </c>
      <c r="D157" s="24" t="s">
        <v>674</v>
      </c>
      <c r="E157" s="30" t="s">
        <v>675</v>
      </c>
      <c r="F157" s="31" t="s">
        <v>23</v>
      </c>
      <c r="G157" s="21" t="s">
        <v>33</v>
      </c>
      <c r="H157" s="38" t="s">
        <v>676</v>
      </c>
      <c r="I157" s="39">
        <v>43857</v>
      </c>
      <c r="J157" s="39">
        <v>43861</v>
      </c>
      <c r="K157" s="24" t="s">
        <v>26</v>
      </c>
      <c r="L157" s="26">
        <v>2470.54</v>
      </c>
      <c r="M157" s="87">
        <v>4.7300000000000004</v>
      </c>
      <c r="N157" s="40">
        <v>20</v>
      </c>
      <c r="O157" s="25">
        <v>21</v>
      </c>
      <c r="P157" s="25">
        <v>0</v>
      </c>
      <c r="Q157" s="25">
        <v>0</v>
      </c>
      <c r="R157" s="25">
        <f t="shared" si="2"/>
        <v>21</v>
      </c>
      <c r="S157" s="24">
        <v>20</v>
      </c>
      <c r="T157" s="21" t="s">
        <v>677</v>
      </c>
    </row>
    <row r="158" spans="1:20" ht="23.25" customHeight="1" x14ac:dyDescent="0.25">
      <c r="A158" s="20" t="s">
        <v>678</v>
      </c>
      <c r="B158" s="22">
        <v>2020</v>
      </c>
      <c r="C158" s="90" t="s">
        <v>21</v>
      </c>
      <c r="D158" s="22" t="s">
        <v>679</v>
      </c>
      <c r="E158" s="27" t="s">
        <v>680</v>
      </c>
      <c r="F158" s="29" t="s">
        <v>23</v>
      </c>
      <c r="G158" s="20" t="s">
        <v>38</v>
      </c>
      <c r="H158" s="36" t="s">
        <v>681</v>
      </c>
      <c r="I158" s="37">
        <v>43859</v>
      </c>
      <c r="J158" s="37">
        <v>43859</v>
      </c>
      <c r="K158" s="22" t="s">
        <v>26</v>
      </c>
      <c r="L158" s="28">
        <v>0</v>
      </c>
      <c r="M158" s="86">
        <v>4.8499999999999996</v>
      </c>
      <c r="N158" s="41">
        <v>30</v>
      </c>
      <c r="O158" s="23">
        <v>13</v>
      </c>
      <c r="P158" s="23">
        <v>0</v>
      </c>
      <c r="Q158" s="23">
        <v>0</v>
      </c>
      <c r="R158" s="23">
        <f t="shared" si="2"/>
        <v>13</v>
      </c>
      <c r="S158" s="22">
        <v>2</v>
      </c>
      <c r="T158" s="20" t="s">
        <v>682</v>
      </c>
    </row>
    <row r="159" spans="1:20" ht="23.25" customHeight="1" x14ac:dyDescent="0.25">
      <c r="A159" s="21" t="s">
        <v>683</v>
      </c>
      <c r="B159" s="24">
        <v>2020</v>
      </c>
      <c r="C159" s="90" t="s">
        <v>21</v>
      </c>
      <c r="D159" s="24" t="s">
        <v>684</v>
      </c>
      <c r="E159" s="30" t="s">
        <v>685</v>
      </c>
      <c r="F159" s="31" t="s">
        <v>23</v>
      </c>
      <c r="G159" s="21" t="s">
        <v>24</v>
      </c>
      <c r="H159" s="38" t="s">
        <v>686</v>
      </c>
      <c r="I159" s="39">
        <v>43894</v>
      </c>
      <c r="J159" s="39">
        <v>43895</v>
      </c>
      <c r="K159" s="24" t="s">
        <v>35</v>
      </c>
      <c r="L159" s="26">
        <v>0</v>
      </c>
      <c r="M159" s="87">
        <v>4.32</v>
      </c>
      <c r="N159" s="40">
        <v>100</v>
      </c>
      <c r="O159" s="25">
        <v>39</v>
      </c>
      <c r="P159" s="25">
        <v>0</v>
      </c>
      <c r="Q159" s="25">
        <v>78</v>
      </c>
      <c r="R159" s="25">
        <f t="shared" si="2"/>
        <v>117</v>
      </c>
      <c r="S159" s="24">
        <v>14</v>
      </c>
      <c r="T159" s="21" t="s">
        <v>472</v>
      </c>
    </row>
    <row r="160" spans="1:20" ht="23.25" customHeight="1" x14ac:dyDescent="0.25">
      <c r="A160" s="20" t="s">
        <v>687</v>
      </c>
      <c r="B160" s="22">
        <v>2020</v>
      </c>
      <c r="C160" s="90" t="s">
        <v>21</v>
      </c>
      <c r="D160" s="22" t="s">
        <v>674</v>
      </c>
      <c r="E160" s="27" t="s">
        <v>688</v>
      </c>
      <c r="F160" s="29" t="s">
        <v>23</v>
      </c>
      <c r="G160" s="20" t="s">
        <v>33</v>
      </c>
      <c r="H160" s="36" t="s">
        <v>689</v>
      </c>
      <c r="I160" s="37">
        <v>43899</v>
      </c>
      <c r="J160" s="37">
        <v>43951</v>
      </c>
      <c r="K160" s="22" t="s">
        <v>26</v>
      </c>
      <c r="L160" s="28">
        <v>1780.95</v>
      </c>
      <c r="M160" s="86">
        <v>4.2</v>
      </c>
      <c r="N160" s="41">
        <v>20</v>
      </c>
      <c r="O160" s="23">
        <v>20</v>
      </c>
      <c r="P160" s="23">
        <v>0</v>
      </c>
      <c r="Q160" s="23">
        <v>0</v>
      </c>
      <c r="R160" s="23">
        <f t="shared" si="2"/>
        <v>20</v>
      </c>
      <c r="S160" s="22">
        <v>20</v>
      </c>
      <c r="T160" s="20" t="s">
        <v>677</v>
      </c>
    </row>
    <row r="161" spans="1:20" ht="23.25" customHeight="1" x14ac:dyDescent="0.25">
      <c r="A161" s="21" t="s">
        <v>690</v>
      </c>
      <c r="B161" s="24">
        <v>2020</v>
      </c>
      <c r="C161" s="90" t="s">
        <v>21</v>
      </c>
      <c r="D161" s="24" t="s">
        <v>691</v>
      </c>
      <c r="E161" s="30" t="s">
        <v>692</v>
      </c>
      <c r="F161" s="31" t="s">
        <v>23</v>
      </c>
      <c r="G161" s="21" t="s">
        <v>68</v>
      </c>
      <c r="H161" s="38" t="s">
        <v>693</v>
      </c>
      <c r="I161" s="39">
        <v>43927</v>
      </c>
      <c r="J161" s="39">
        <v>43943</v>
      </c>
      <c r="K161" s="24" t="s">
        <v>35</v>
      </c>
      <c r="L161" s="26">
        <f>4731.54+5384.88</f>
        <v>10116.42</v>
      </c>
      <c r="M161" s="87">
        <v>4.49</v>
      </c>
      <c r="N161" s="40">
        <v>20</v>
      </c>
      <c r="O161" s="25">
        <v>22</v>
      </c>
      <c r="P161" s="25">
        <v>0</v>
      </c>
      <c r="Q161" s="25">
        <v>0</v>
      </c>
      <c r="R161" s="25">
        <f t="shared" si="2"/>
        <v>22</v>
      </c>
      <c r="S161" s="24">
        <v>24</v>
      </c>
      <c r="T161" s="21" t="s">
        <v>694</v>
      </c>
    </row>
    <row r="162" spans="1:20" ht="23.25" customHeight="1" x14ac:dyDescent="0.25">
      <c r="A162" s="20" t="s">
        <v>695</v>
      </c>
      <c r="B162" s="22">
        <v>2020</v>
      </c>
      <c r="C162" s="90" t="s">
        <v>21</v>
      </c>
      <c r="D162" s="22" t="s">
        <v>696</v>
      </c>
      <c r="E162" s="27" t="s">
        <v>697</v>
      </c>
      <c r="F162" s="29" t="s">
        <v>23</v>
      </c>
      <c r="G162" s="20" t="s">
        <v>33</v>
      </c>
      <c r="H162" s="36" t="s">
        <v>698</v>
      </c>
      <c r="I162" s="37">
        <v>43941</v>
      </c>
      <c r="J162" s="37">
        <v>43945</v>
      </c>
      <c r="K162" s="22" t="s">
        <v>35</v>
      </c>
      <c r="L162" s="28">
        <v>5384.88</v>
      </c>
      <c r="M162" s="86">
        <v>4.1100000000000003</v>
      </c>
      <c r="N162" s="41">
        <v>20</v>
      </c>
      <c r="O162" s="23">
        <v>21</v>
      </c>
      <c r="P162" s="23">
        <v>0</v>
      </c>
      <c r="Q162" s="23">
        <v>0</v>
      </c>
      <c r="R162" s="23">
        <f t="shared" si="2"/>
        <v>21</v>
      </c>
      <c r="S162" s="22">
        <v>12</v>
      </c>
      <c r="T162" s="33" t="s">
        <v>211</v>
      </c>
    </row>
    <row r="163" spans="1:20" ht="23.25" customHeight="1" x14ac:dyDescent="0.25">
      <c r="A163" s="21" t="s">
        <v>699</v>
      </c>
      <c r="B163" s="24">
        <v>2020</v>
      </c>
      <c r="C163" s="90" t="s">
        <v>21</v>
      </c>
      <c r="D163" s="24" t="s">
        <v>700</v>
      </c>
      <c r="E163" s="30" t="s">
        <v>701</v>
      </c>
      <c r="F163" s="31" t="s">
        <v>23</v>
      </c>
      <c r="G163" s="21" t="s">
        <v>199</v>
      </c>
      <c r="H163" s="38" t="s">
        <v>702</v>
      </c>
      <c r="I163" s="39">
        <v>43966</v>
      </c>
      <c r="J163" s="39">
        <v>43966</v>
      </c>
      <c r="K163" s="24" t="s">
        <v>35</v>
      </c>
      <c r="L163" s="26">
        <v>591.44000000000005</v>
      </c>
      <c r="M163" s="87">
        <v>5</v>
      </c>
      <c r="N163" s="40">
        <v>59</v>
      </c>
      <c r="O163" s="25">
        <v>59</v>
      </c>
      <c r="P163" s="25">
        <v>0</v>
      </c>
      <c r="Q163" s="25">
        <v>0</v>
      </c>
      <c r="R163" s="25">
        <f t="shared" si="2"/>
        <v>59</v>
      </c>
      <c r="S163" s="24">
        <v>1.5</v>
      </c>
      <c r="T163" s="21" t="s">
        <v>612</v>
      </c>
    </row>
    <row r="164" spans="1:20" ht="23.25" customHeight="1" x14ac:dyDescent="0.25">
      <c r="A164" s="20" t="s">
        <v>703</v>
      </c>
      <c r="B164" s="22">
        <v>2020</v>
      </c>
      <c r="C164" s="90" t="s">
        <v>21</v>
      </c>
      <c r="D164" s="22" t="s">
        <v>704</v>
      </c>
      <c r="E164" s="27" t="s">
        <v>705</v>
      </c>
      <c r="F164" s="29" t="s">
        <v>23</v>
      </c>
      <c r="G164" s="20" t="s">
        <v>33</v>
      </c>
      <c r="H164" s="36" t="s">
        <v>706</v>
      </c>
      <c r="I164" s="37">
        <v>43969</v>
      </c>
      <c r="J164" s="37">
        <v>43977</v>
      </c>
      <c r="K164" s="22" t="s">
        <v>26</v>
      </c>
      <c r="L164" s="28">
        <v>2125.29</v>
      </c>
      <c r="M164" s="86">
        <v>4.8</v>
      </c>
      <c r="N164" s="41">
        <v>20</v>
      </c>
      <c r="O164" s="23">
        <v>24</v>
      </c>
      <c r="P164" s="23">
        <v>0</v>
      </c>
      <c r="Q164" s="23">
        <v>0</v>
      </c>
      <c r="R164" s="23">
        <f t="shared" si="2"/>
        <v>24</v>
      </c>
      <c r="S164" s="22">
        <v>20</v>
      </c>
      <c r="T164" s="20" t="s">
        <v>677</v>
      </c>
    </row>
    <row r="165" spans="1:20" ht="23.25" customHeight="1" x14ac:dyDescent="0.25">
      <c r="A165" s="21" t="s">
        <v>707</v>
      </c>
      <c r="B165" s="24">
        <v>2020</v>
      </c>
      <c r="C165" s="90" t="s">
        <v>21</v>
      </c>
      <c r="D165" s="24" t="s">
        <v>700</v>
      </c>
      <c r="E165" s="30" t="s">
        <v>708</v>
      </c>
      <c r="F165" s="31" t="s">
        <v>23</v>
      </c>
      <c r="G165" s="21" t="s">
        <v>199</v>
      </c>
      <c r="H165" s="38" t="s">
        <v>709</v>
      </c>
      <c r="I165" s="39">
        <v>43980</v>
      </c>
      <c r="J165" s="39">
        <v>43980</v>
      </c>
      <c r="K165" s="24" t="s">
        <v>35</v>
      </c>
      <c r="L165" s="26">
        <v>591.44000000000005</v>
      </c>
      <c r="M165" s="87">
        <v>5</v>
      </c>
      <c r="N165" s="40">
        <v>41</v>
      </c>
      <c r="O165" s="25">
        <v>41</v>
      </c>
      <c r="P165" s="25">
        <v>0</v>
      </c>
      <c r="Q165" s="25">
        <v>0</v>
      </c>
      <c r="R165" s="25">
        <f t="shared" si="2"/>
        <v>41</v>
      </c>
      <c r="S165" s="24">
        <v>1.5</v>
      </c>
      <c r="T165" s="21" t="s">
        <v>710</v>
      </c>
    </row>
    <row r="166" spans="1:20" ht="23.25" customHeight="1" x14ac:dyDescent="0.25">
      <c r="A166" s="20" t="s">
        <v>711</v>
      </c>
      <c r="B166" s="22">
        <v>2020</v>
      </c>
      <c r="C166" s="90" t="s">
        <v>21</v>
      </c>
      <c r="D166" s="22" t="s">
        <v>669</v>
      </c>
      <c r="E166" s="27" t="s">
        <v>712</v>
      </c>
      <c r="F166" s="29" t="s">
        <v>23</v>
      </c>
      <c r="G166" s="20" t="s">
        <v>457</v>
      </c>
      <c r="H166" s="36" t="s">
        <v>713</v>
      </c>
      <c r="I166" s="37">
        <v>43987</v>
      </c>
      <c r="J166" s="37">
        <v>43987</v>
      </c>
      <c r="K166" s="22" t="s">
        <v>26</v>
      </c>
      <c r="L166" s="28">
        <v>0</v>
      </c>
      <c r="M166" s="86">
        <v>5</v>
      </c>
      <c r="N166" s="41">
        <v>35</v>
      </c>
      <c r="O166" s="23">
        <v>35</v>
      </c>
      <c r="P166" s="23">
        <v>0</v>
      </c>
      <c r="Q166" s="23">
        <v>0</v>
      </c>
      <c r="R166" s="23">
        <f t="shared" si="2"/>
        <v>35</v>
      </c>
      <c r="S166" s="22">
        <v>1.5</v>
      </c>
      <c r="T166" s="20" t="s">
        <v>672</v>
      </c>
    </row>
    <row r="167" spans="1:20" ht="23.25" customHeight="1" x14ac:dyDescent="0.25">
      <c r="A167" s="21" t="s">
        <v>714</v>
      </c>
      <c r="B167" s="24">
        <v>2020</v>
      </c>
      <c r="C167" s="90" t="s">
        <v>21</v>
      </c>
      <c r="D167" s="24" t="s">
        <v>715</v>
      </c>
      <c r="E167" s="30" t="s">
        <v>716</v>
      </c>
      <c r="F167" s="31" t="s">
        <v>23</v>
      </c>
      <c r="G167" s="21" t="s">
        <v>24</v>
      </c>
      <c r="H167" s="38" t="s">
        <v>717</v>
      </c>
      <c r="I167" s="39">
        <v>43990</v>
      </c>
      <c r="J167" s="39">
        <v>43994</v>
      </c>
      <c r="K167" s="24" t="s">
        <v>35</v>
      </c>
      <c r="L167" s="26">
        <v>6308.72</v>
      </c>
      <c r="M167" s="87">
        <v>4.6500000000000004</v>
      </c>
      <c r="N167" s="40">
        <v>20</v>
      </c>
      <c r="O167" s="25">
        <v>15</v>
      </c>
      <c r="P167" s="25">
        <v>0</v>
      </c>
      <c r="Q167" s="25">
        <v>0</v>
      </c>
      <c r="R167" s="25">
        <f t="shared" si="2"/>
        <v>15</v>
      </c>
      <c r="S167" s="24">
        <v>16</v>
      </c>
      <c r="T167" s="21" t="s">
        <v>571</v>
      </c>
    </row>
    <row r="168" spans="1:20" ht="23.25" customHeight="1" x14ac:dyDescent="0.25">
      <c r="A168" s="20" t="s">
        <v>718</v>
      </c>
      <c r="B168" s="22">
        <v>2020</v>
      </c>
      <c r="C168" s="90" t="s">
        <v>21</v>
      </c>
      <c r="D168" s="22" t="s">
        <v>719</v>
      </c>
      <c r="E168" s="27" t="s">
        <v>720</v>
      </c>
      <c r="F168" s="29" t="s">
        <v>23</v>
      </c>
      <c r="G168" s="20" t="s">
        <v>33</v>
      </c>
      <c r="H168" s="36" t="s">
        <v>721</v>
      </c>
      <c r="I168" s="37">
        <v>43997</v>
      </c>
      <c r="J168" s="37">
        <v>44006</v>
      </c>
      <c r="K168" s="22" t="s">
        <v>35</v>
      </c>
      <c r="L168" s="28">
        <v>7179.84</v>
      </c>
      <c r="M168" s="86">
        <v>3.82</v>
      </c>
      <c r="N168" s="41">
        <v>20</v>
      </c>
      <c r="O168" s="23">
        <v>23</v>
      </c>
      <c r="P168" s="23">
        <v>0</v>
      </c>
      <c r="Q168" s="23">
        <v>0</v>
      </c>
      <c r="R168" s="23">
        <f t="shared" si="2"/>
        <v>23</v>
      </c>
      <c r="S168" s="22">
        <v>16</v>
      </c>
      <c r="T168" s="33" t="s">
        <v>211</v>
      </c>
    </row>
    <row r="169" spans="1:20" ht="23.25" customHeight="1" x14ac:dyDescent="0.25">
      <c r="A169" s="21" t="s">
        <v>722</v>
      </c>
      <c r="B169" s="24">
        <v>2020</v>
      </c>
      <c r="C169" s="90" t="s">
        <v>21</v>
      </c>
      <c r="D169" s="24" t="s">
        <v>723</v>
      </c>
      <c r="E169" s="30" t="s">
        <v>724</v>
      </c>
      <c r="F169" s="31" t="s">
        <v>23</v>
      </c>
      <c r="G169" s="21" t="s">
        <v>68</v>
      </c>
      <c r="H169" s="38" t="s">
        <v>725</v>
      </c>
      <c r="I169" s="39">
        <v>43998</v>
      </c>
      <c r="J169" s="39">
        <v>43998</v>
      </c>
      <c r="K169" s="24" t="s">
        <v>26</v>
      </c>
      <c r="L169" s="26">
        <v>0</v>
      </c>
      <c r="M169" s="87">
        <v>4.8</v>
      </c>
      <c r="N169" s="40">
        <v>36</v>
      </c>
      <c r="O169" s="25">
        <v>36</v>
      </c>
      <c r="P169" s="25">
        <v>0</v>
      </c>
      <c r="Q169" s="25">
        <v>0</v>
      </c>
      <c r="R169" s="25">
        <f t="shared" si="2"/>
        <v>36</v>
      </c>
      <c r="S169" s="24">
        <v>1.5</v>
      </c>
      <c r="T169" s="21" t="s">
        <v>726</v>
      </c>
    </row>
    <row r="170" spans="1:20" ht="23.25" customHeight="1" x14ac:dyDescent="0.25">
      <c r="A170" s="20" t="s">
        <v>727</v>
      </c>
      <c r="B170" s="22">
        <v>2020</v>
      </c>
      <c r="C170" s="90" t="s">
        <v>21</v>
      </c>
      <c r="D170" s="22" t="s">
        <v>723</v>
      </c>
      <c r="E170" s="27" t="s">
        <v>728</v>
      </c>
      <c r="F170" s="29" t="s">
        <v>23</v>
      </c>
      <c r="G170" s="20" t="s">
        <v>68</v>
      </c>
      <c r="H170" s="36" t="s">
        <v>729</v>
      </c>
      <c r="I170" s="37">
        <v>44012</v>
      </c>
      <c r="J170" s="37">
        <v>44012</v>
      </c>
      <c r="K170" s="22" t="s">
        <v>26</v>
      </c>
      <c r="L170" s="28">
        <v>0</v>
      </c>
      <c r="M170" s="86">
        <v>4.8600000000000003</v>
      </c>
      <c r="N170" s="41">
        <v>42</v>
      </c>
      <c r="O170" s="49">
        <v>84</v>
      </c>
      <c r="P170" s="23">
        <v>0</v>
      </c>
      <c r="Q170" s="23">
        <v>0</v>
      </c>
      <c r="R170" s="23">
        <f t="shared" si="2"/>
        <v>84</v>
      </c>
      <c r="S170" s="22">
        <v>1.5</v>
      </c>
      <c r="T170" s="20" t="s">
        <v>726</v>
      </c>
    </row>
    <row r="171" spans="1:20" ht="23.25" customHeight="1" x14ac:dyDescent="0.25">
      <c r="A171" s="21" t="s">
        <v>730</v>
      </c>
      <c r="B171" s="24">
        <v>2020</v>
      </c>
      <c r="C171" s="90" t="s">
        <v>21</v>
      </c>
      <c r="D171" s="24" t="s">
        <v>723</v>
      </c>
      <c r="E171" s="30" t="s">
        <v>731</v>
      </c>
      <c r="F171" s="31" t="s">
        <v>23</v>
      </c>
      <c r="G171" s="21" t="s">
        <v>68</v>
      </c>
      <c r="H171" s="38" t="s">
        <v>732</v>
      </c>
      <c r="I171" s="39">
        <v>44019</v>
      </c>
      <c r="J171" s="39">
        <v>44019</v>
      </c>
      <c r="K171" s="24" t="s">
        <v>26</v>
      </c>
      <c r="L171" s="26">
        <v>0</v>
      </c>
      <c r="M171" s="87">
        <v>4.76</v>
      </c>
      <c r="N171" s="40">
        <v>40</v>
      </c>
      <c r="O171" s="25">
        <v>40</v>
      </c>
      <c r="P171" s="25">
        <v>0</v>
      </c>
      <c r="Q171" s="25">
        <v>0</v>
      </c>
      <c r="R171" s="25">
        <f t="shared" si="2"/>
        <v>40</v>
      </c>
      <c r="S171" s="24">
        <v>1.5</v>
      </c>
      <c r="T171" s="21" t="s">
        <v>733</v>
      </c>
    </row>
    <row r="172" spans="1:20" ht="23.25" customHeight="1" x14ac:dyDescent="0.25">
      <c r="A172" s="20" t="s">
        <v>734</v>
      </c>
      <c r="B172" s="22">
        <v>2020</v>
      </c>
      <c r="C172" s="90" t="s">
        <v>21</v>
      </c>
      <c r="D172" s="22" t="s">
        <v>723</v>
      </c>
      <c r="E172" s="27" t="s">
        <v>735</v>
      </c>
      <c r="F172" s="29" t="s">
        <v>23</v>
      </c>
      <c r="G172" s="20" t="s">
        <v>68</v>
      </c>
      <c r="H172" s="36" t="s">
        <v>736</v>
      </c>
      <c r="I172" s="37">
        <v>44047</v>
      </c>
      <c r="J172" s="37">
        <v>44047</v>
      </c>
      <c r="K172" s="22" t="s">
        <v>26</v>
      </c>
      <c r="L172" s="28">
        <v>0</v>
      </c>
      <c r="M172" s="86">
        <v>4.5</v>
      </c>
      <c r="N172" s="41">
        <v>40</v>
      </c>
      <c r="O172" s="23">
        <v>40</v>
      </c>
      <c r="P172" s="23">
        <v>0</v>
      </c>
      <c r="Q172" s="23">
        <v>0</v>
      </c>
      <c r="R172" s="23">
        <f t="shared" si="2"/>
        <v>40</v>
      </c>
      <c r="S172" s="22">
        <v>1.5</v>
      </c>
      <c r="T172" s="20" t="s">
        <v>737</v>
      </c>
    </row>
    <row r="173" spans="1:20" ht="23.25" customHeight="1" x14ac:dyDescent="0.25">
      <c r="A173" s="21" t="s">
        <v>738</v>
      </c>
      <c r="B173" s="24">
        <v>2020</v>
      </c>
      <c r="C173" s="90" t="s">
        <v>21</v>
      </c>
      <c r="D173" s="24" t="s">
        <v>723</v>
      </c>
      <c r="E173" s="30" t="s">
        <v>739</v>
      </c>
      <c r="F173" s="31" t="s">
        <v>23</v>
      </c>
      <c r="G173" s="21" t="s">
        <v>68</v>
      </c>
      <c r="H173" s="38" t="s">
        <v>740</v>
      </c>
      <c r="I173" s="39">
        <v>44054</v>
      </c>
      <c r="J173" s="39">
        <v>44054</v>
      </c>
      <c r="K173" s="24" t="s">
        <v>26</v>
      </c>
      <c r="L173" s="26">
        <v>0</v>
      </c>
      <c r="M173" s="87">
        <v>4.9000000000000004</v>
      </c>
      <c r="N173" s="40">
        <v>44</v>
      </c>
      <c r="O173" s="25">
        <v>44</v>
      </c>
      <c r="P173" s="25">
        <v>0</v>
      </c>
      <c r="Q173" s="25">
        <v>0</v>
      </c>
      <c r="R173" s="25">
        <f t="shared" si="2"/>
        <v>44</v>
      </c>
      <c r="S173" s="24">
        <v>1.5</v>
      </c>
      <c r="T173" s="21" t="s">
        <v>741</v>
      </c>
    </row>
    <row r="174" spans="1:20" ht="23.25" customHeight="1" x14ac:dyDescent="0.25">
      <c r="A174" s="20" t="s">
        <v>742</v>
      </c>
      <c r="B174" s="22">
        <v>2020</v>
      </c>
      <c r="C174" s="90" t="s">
        <v>21</v>
      </c>
      <c r="D174" s="22" t="s">
        <v>743</v>
      </c>
      <c r="E174" s="27" t="s">
        <v>744</v>
      </c>
      <c r="F174" s="29" t="s">
        <v>23</v>
      </c>
      <c r="G174" s="20" t="s">
        <v>68</v>
      </c>
      <c r="H174" s="36" t="s">
        <v>745</v>
      </c>
      <c r="I174" s="37">
        <v>44063</v>
      </c>
      <c r="J174" s="37">
        <v>44078</v>
      </c>
      <c r="K174" s="22" t="s">
        <v>26</v>
      </c>
      <c r="L174" s="28">
        <v>18000</v>
      </c>
      <c r="M174" s="86">
        <v>4.1500000000000004</v>
      </c>
      <c r="N174" s="41">
        <v>30</v>
      </c>
      <c r="O174" s="23">
        <v>31</v>
      </c>
      <c r="P174" s="23">
        <v>0</v>
      </c>
      <c r="Q174" s="23">
        <v>0</v>
      </c>
      <c r="R174" s="23">
        <f t="shared" si="2"/>
        <v>31</v>
      </c>
      <c r="S174" s="22">
        <v>24</v>
      </c>
      <c r="T174" s="20" t="s">
        <v>746</v>
      </c>
    </row>
    <row r="175" spans="1:20" ht="23.25" customHeight="1" x14ac:dyDescent="0.25">
      <c r="A175" s="21" t="s">
        <v>747</v>
      </c>
      <c r="B175" s="24">
        <v>2020</v>
      </c>
      <c r="C175" s="90" t="s">
        <v>21</v>
      </c>
      <c r="D175" s="24" t="s">
        <v>748</v>
      </c>
      <c r="E175" s="30" t="s">
        <v>749</v>
      </c>
      <c r="F175" s="31" t="s">
        <v>23</v>
      </c>
      <c r="G175" s="21" t="s">
        <v>38</v>
      </c>
      <c r="H175" s="38" t="s">
        <v>750</v>
      </c>
      <c r="I175" s="39">
        <v>44102</v>
      </c>
      <c r="J175" s="39">
        <v>44112</v>
      </c>
      <c r="K175" s="24" t="s">
        <v>35</v>
      </c>
      <c r="L175" s="26">
        <v>6500</v>
      </c>
      <c r="M175" s="87">
        <v>4.68</v>
      </c>
      <c r="N175" s="40">
        <v>20</v>
      </c>
      <c r="O175" s="25">
        <v>29</v>
      </c>
      <c r="P175" s="25">
        <v>0</v>
      </c>
      <c r="Q175" s="25">
        <v>0</v>
      </c>
      <c r="R175" s="25">
        <f t="shared" si="2"/>
        <v>29</v>
      </c>
      <c r="S175" s="24">
        <v>15</v>
      </c>
      <c r="T175" s="21" t="s">
        <v>74</v>
      </c>
    </row>
    <row r="176" spans="1:20" ht="23.25" customHeight="1" x14ac:dyDescent="0.25">
      <c r="A176" s="20" t="s">
        <v>751</v>
      </c>
      <c r="B176" s="22">
        <v>2020</v>
      </c>
      <c r="C176" s="90" t="s">
        <v>21</v>
      </c>
      <c r="D176" s="22" t="s">
        <v>752</v>
      </c>
      <c r="E176" s="27" t="s">
        <v>753</v>
      </c>
      <c r="F176" s="29" t="s">
        <v>81</v>
      </c>
      <c r="G176" s="20" t="s">
        <v>68</v>
      </c>
      <c r="H176" s="36" t="s">
        <v>754</v>
      </c>
      <c r="I176" s="37">
        <v>44158</v>
      </c>
      <c r="J176" s="37">
        <v>44162</v>
      </c>
      <c r="K176" s="22" t="s">
        <v>26</v>
      </c>
      <c r="L176" s="28">
        <v>0</v>
      </c>
      <c r="M176" s="86">
        <v>4.9000000000000004</v>
      </c>
      <c r="N176" s="41">
        <v>100</v>
      </c>
      <c r="O176" s="23">
        <v>22</v>
      </c>
      <c r="P176" s="23">
        <v>0</v>
      </c>
      <c r="Q176" s="23">
        <v>97</v>
      </c>
      <c r="R176" s="23">
        <f t="shared" si="2"/>
        <v>119</v>
      </c>
      <c r="S176" s="22">
        <v>10</v>
      </c>
      <c r="T176" s="20" t="s">
        <v>472</v>
      </c>
    </row>
    <row r="177" spans="1:20" ht="23.25" customHeight="1" x14ac:dyDescent="0.25">
      <c r="A177" s="21" t="s">
        <v>755</v>
      </c>
      <c r="B177" s="24">
        <v>2021</v>
      </c>
      <c r="C177" s="90" t="s">
        <v>21</v>
      </c>
      <c r="D177" s="24" t="s">
        <v>756</v>
      </c>
      <c r="E177" s="30" t="s">
        <v>757</v>
      </c>
      <c r="F177" s="31" t="s">
        <v>225</v>
      </c>
      <c r="G177" s="21" t="s">
        <v>24</v>
      </c>
      <c r="H177" s="38" t="s">
        <v>758</v>
      </c>
      <c r="I177" s="39">
        <v>44229</v>
      </c>
      <c r="J177" s="39">
        <v>44229</v>
      </c>
      <c r="K177" s="24" t="s">
        <v>35</v>
      </c>
      <c r="L177" s="26">
        <f>1577.18/4</f>
        <v>394.29500000000002</v>
      </c>
      <c r="M177" s="87">
        <v>4.9000000000000004</v>
      </c>
      <c r="N177" s="40">
        <v>122</v>
      </c>
      <c r="O177" s="25">
        <v>55</v>
      </c>
      <c r="P177" s="25">
        <v>67</v>
      </c>
      <c r="Q177" s="25">
        <v>0</v>
      </c>
      <c r="R177" s="25">
        <f t="shared" si="2"/>
        <v>122</v>
      </c>
      <c r="S177" s="24">
        <v>1</v>
      </c>
      <c r="T177" s="21" t="s">
        <v>759</v>
      </c>
    </row>
    <row r="178" spans="1:20" ht="23.25" customHeight="1" x14ac:dyDescent="0.25">
      <c r="A178" s="20" t="s">
        <v>760</v>
      </c>
      <c r="B178" s="22">
        <v>2021</v>
      </c>
      <c r="C178" s="90" t="s">
        <v>21</v>
      </c>
      <c r="D178" s="22" t="s">
        <v>756</v>
      </c>
      <c r="E178" s="27" t="s">
        <v>761</v>
      </c>
      <c r="F178" s="29" t="s">
        <v>225</v>
      </c>
      <c r="G178" s="20" t="s">
        <v>24</v>
      </c>
      <c r="H178" s="36" t="s">
        <v>762</v>
      </c>
      <c r="I178" s="37">
        <v>44236</v>
      </c>
      <c r="J178" s="37">
        <v>44236</v>
      </c>
      <c r="K178" s="22" t="s">
        <v>35</v>
      </c>
      <c r="L178" s="28">
        <f>1577.18/4</f>
        <v>394.29500000000002</v>
      </c>
      <c r="M178" s="86">
        <v>4.9000000000000004</v>
      </c>
      <c r="N178" s="41">
        <v>116</v>
      </c>
      <c r="O178" s="23">
        <v>54</v>
      </c>
      <c r="P178" s="23">
        <v>62</v>
      </c>
      <c r="Q178" s="23">
        <v>0</v>
      </c>
      <c r="R178" s="23">
        <f t="shared" si="2"/>
        <v>116</v>
      </c>
      <c r="S178" s="22">
        <v>1</v>
      </c>
      <c r="T178" s="20" t="s">
        <v>759</v>
      </c>
    </row>
    <row r="179" spans="1:20" ht="23.25" customHeight="1" x14ac:dyDescent="0.25">
      <c r="A179" s="21" t="s">
        <v>763</v>
      </c>
      <c r="B179" s="24">
        <v>2021</v>
      </c>
      <c r="C179" s="90" t="s">
        <v>21</v>
      </c>
      <c r="D179" s="24" t="s">
        <v>756</v>
      </c>
      <c r="E179" s="30" t="s">
        <v>764</v>
      </c>
      <c r="F179" s="31" t="s">
        <v>225</v>
      </c>
      <c r="G179" s="21" t="s">
        <v>24</v>
      </c>
      <c r="H179" s="38" t="s">
        <v>765</v>
      </c>
      <c r="I179" s="39">
        <v>44250</v>
      </c>
      <c r="J179" s="39">
        <v>44250</v>
      </c>
      <c r="K179" s="24" t="s">
        <v>35</v>
      </c>
      <c r="L179" s="26">
        <f>1577.18/4</f>
        <v>394.29500000000002</v>
      </c>
      <c r="M179" s="87">
        <v>4.9000000000000004</v>
      </c>
      <c r="N179" s="40">
        <v>83</v>
      </c>
      <c r="O179" s="25">
        <v>48</v>
      </c>
      <c r="P179" s="25">
        <v>35</v>
      </c>
      <c r="Q179" s="25">
        <v>0</v>
      </c>
      <c r="R179" s="25">
        <f t="shared" si="2"/>
        <v>83</v>
      </c>
      <c r="S179" s="24">
        <v>1</v>
      </c>
      <c r="T179" s="21" t="s">
        <v>766</v>
      </c>
    </row>
    <row r="180" spans="1:20" ht="23.25" customHeight="1" x14ac:dyDescent="0.25">
      <c r="A180" s="20" t="s">
        <v>767</v>
      </c>
      <c r="B180" s="22">
        <v>2021</v>
      </c>
      <c r="C180" s="90" t="s">
        <v>21</v>
      </c>
      <c r="D180" s="22" t="s">
        <v>756</v>
      </c>
      <c r="E180" s="27" t="s">
        <v>768</v>
      </c>
      <c r="F180" s="29" t="s">
        <v>225</v>
      </c>
      <c r="G180" s="20" t="s">
        <v>24</v>
      </c>
      <c r="H180" s="36" t="s">
        <v>769</v>
      </c>
      <c r="I180" s="37">
        <v>44257</v>
      </c>
      <c r="J180" s="37">
        <v>44257</v>
      </c>
      <c r="K180" s="22" t="s">
        <v>35</v>
      </c>
      <c r="L180" s="28">
        <v>1577.18</v>
      </c>
      <c r="M180" s="86">
        <v>4.7</v>
      </c>
      <c r="N180" s="41">
        <v>69</v>
      </c>
      <c r="O180" s="23">
        <v>47</v>
      </c>
      <c r="P180" s="23">
        <v>22</v>
      </c>
      <c r="Q180" s="23">
        <v>0</v>
      </c>
      <c r="R180" s="23">
        <f t="shared" si="2"/>
        <v>69</v>
      </c>
      <c r="S180" s="22">
        <v>1</v>
      </c>
      <c r="T180" s="20" t="s">
        <v>759</v>
      </c>
    </row>
    <row r="181" spans="1:20" ht="23.25" customHeight="1" x14ac:dyDescent="0.25">
      <c r="A181" s="21" t="s">
        <v>770</v>
      </c>
      <c r="B181" s="24">
        <v>2021</v>
      </c>
      <c r="C181" s="90" t="s">
        <v>21</v>
      </c>
      <c r="D181" s="24" t="s">
        <v>771</v>
      </c>
      <c r="E181" s="30" t="s">
        <v>772</v>
      </c>
      <c r="F181" s="31" t="s">
        <v>23</v>
      </c>
      <c r="G181" s="21" t="s">
        <v>68</v>
      </c>
      <c r="H181" s="38" t="s">
        <v>773</v>
      </c>
      <c r="I181" s="39">
        <v>44259</v>
      </c>
      <c r="J181" s="39">
        <v>44260</v>
      </c>
      <c r="K181" s="24" t="s">
        <v>35</v>
      </c>
      <c r="L181" s="26">
        <v>813.65</v>
      </c>
      <c r="M181" s="87">
        <v>4.9000000000000004</v>
      </c>
      <c r="N181" s="40">
        <v>48</v>
      </c>
      <c r="O181" s="25">
        <v>48</v>
      </c>
      <c r="P181" s="25">
        <v>0</v>
      </c>
      <c r="Q181" s="25">
        <v>0</v>
      </c>
      <c r="R181" s="25">
        <f t="shared" si="2"/>
        <v>48</v>
      </c>
      <c r="S181" s="24">
        <v>2.5</v>
      </c>
      <c r="T181" s="21" t="s">
        <v>774</v>
      </c>
    </row>
    <row r="182" spans="1:20" ht="23.25" customHeight="1" x14ac:dyDescent="0.25">
      <c r="A182" s="20" t="s">
        <v>775</v>
      </c>
      <c r="B182" s="22">
        <v>2021</v>
      </c>
      <c r="C182" s="90" t="s">
        <v>21</v>
      </c>
      <c r="D182" s="22" t="s">
        <v>669</v>
      </c>
      <c r="E182" s="27" t="s">
        <v>776</v>
      </c>
      <c r="F182" s="29" t="s">
        <v>23</v>
      </c>
      <c r="G182" s="20" t="s">
        <v>33</v>
      </c>
      <c r="H182" s="36" t="s">
        <v>777</v>
      </c>
      <c r="I182" s="37">
        <v>44265</v>
      </c>
      <c r="J182" s="37">
        <v>44265</v>
      </c>
      <c r="K182" s="22" t="s">
        <v>26</v>
      </c>
      <c r="L182" s="28">
        <v>0</v>
      </c>
      <c r="M182" s="86">
        <v>4.9000000000000004</v>
      </c>
      <c r="N182" s="41">
        <v>19</v>
      </c>
      <c r="O182" s="23">
        <v>19</v>
      </c>
      <c r="P182" s="23">
        <v>0</v>
      </c>
      <c r="Q182" s="23">
        <v>0</v>
      </c>
      <c r="R182" s="23">
        <f t="shared" si="2"/>
        <v>19</v>
      </c>
      <c r="S182" s="22">
        <v>1.5</v>
      </c>
      <c r="T182" s="33" t="s">
        <v>778</v>
      </c>
    </row>
    <row r="183" spans="1:20" ht="23.25" customHeight="1" x14ac:dyDescent="0.25">
      <c r="A183" s="21" t="s">
        <v>779</v>
      </c>
      <c r="B183" s="24">
        <v>2021</v>
      </c>
      <c r="C183" s="90" t="s">
        <v>21</v>
      </c>
      <c r="D183" s="24" t="s">
        <v>780</v>
      </c>
      <c r="E183" s="30" t="s">
        <v>781</v>
      </c>
      <c r="F183" s="31" t="s">
        <v>81</v>
      </c>
      <c r="G183" s="21" t="s">
        <v>72</v>
      </c>
      <c r="H183" s="38" t="s">
        <v>782</v>
      </c>
      <c r="I183" s="39">
        <v>44280</v>
      </c>
      <c r="J183" s="39">
        <v>44280</v>
      </c>
      <c r="K183" s="24" t="s">
        <v>35</v>
      </c>
      <c r="L183" s="26">
        <v>600</v>
      </c>
      <c r="M183" s="87">
        <v>5</v>
      </c>
      <c r="N183" s="40">
        <v>73</v>
      </c>
      <c r="O183" s="25">
        <v>0</v>
      </c>
      <c r="P183" s="25">
        <v>0</v>
      </c>
      <c r="Q183" s="25">
        <v>73</v>
      </c>
      <c r="R183" s="25">
        <f t="shared" si="2"/>
        <v>73</v>
      </c>
      <c r="S183" s="24">
        <v>1.5</v>
      </c>
      <c r="T183" s="21" t="s">
        <v>93</v>
      </c>
    </row>
    <row r="184" spans="1:20" ht="23.25" customHeight="1" x14ac:dyDescent="0.25">
      <c r="A184" s="20" t="s">
        <v>783</v>
      </c>
      <c r="B184" s="22">
        <v>2021</v>
      </c>
      <c r="C184" s="90" t="s">
        <v>21</v>
      </c>
      <c r="D184" s="22" t="s">
        <v>784</v>
      </c>
      <c r="E184" s="27" t="s">
        <v>785</v>
      </c>
      <c r="F184" s="29" t="s">
        <v>23</v>
      </c>
      <c r="G184" s="20" t="s">
        <v>457</v>
      </c>
      <c r="H184" s="36" t="s">
        <v>786</v>
      </c>
      <c r="I184" s="37">
        <v>44285</v>
      </c>
      <c r="J184" s="37">
        <v>44286</v>
      </c>
      <c r="K184" s="22" t="s">
        <v>35</v>
      </c>
      <c r="L184" s="28">
        <v>0</v>
      </c>
      <c r="M184" s="86">
        <v>4.5999999999999996</v>
      </c>
      <c r="N184" s="41">
        <v>94</v>
      </c>
      <c r="O184" s="23">
        <v>94</v>
      </c>
      <c r="P184" s="23">
        <v>0</v>
      </c>
      <c r="Q184" s="23">
        <v>0</v>
      </c>
      <c r="R184" s="23">
        <f t="shared" si="2"/>
        <v>94</v>
      </c>
      <c r="S184" s="22">
        <v>1</v>
      </c>
      <c r="T184" s="20" t="s">
        <v>787</v>
      </c>
    </row>
    <row r="185" spans="1:20" ht="23.25" customHeight="1" x14ac:dyDescent="0.25">
      <c r="A185" s="21" t="s">
        <v>788</v>
      </c>
      <c r="B185" s="24">
        <v>2021</v>
      </c>
      <c r="C185" s="90" t="s">
        <v>21</v>
      </c>
      <c r="D185" s="24" t="s">
        <v>789</v>
      </c>
      <c r="E185" s="30" t="s">
        <v>363</v>
      </c>
      <c r="F185" s="31" t="s">
        <v>23</v>
      </c>
      <c r="G185" s="21" t="s">
        <v>364</v>
      </c>
      <c r="H185" s="38" t="s">
        <v>790</v>
      </c>
      <c r="I185" s="39">
        <v>44298</v>
      </c>
      <c r="J185" s="39">
        <v>44308</v>
      </c>
      <c r="K185" s="24" t="s">
        <v>35</v>
      </c>
      <c r="L185" s="26">
        <v>7885.9</v>
      </c>
      <c r="M185" s="87">
        <v>4.3</v>
      </c>
      <c r="N185" s="40">
        <v>42</v>
      </c>
      <c r="O185" s="25">
        <v>42</v>
      </c>
      <c r="P185" s="25">
        <v>0</v>
      </c>
      <c r="Q185" s="25">
        <v>0</v>
      </c>
      <c r="R185" s="25">
        <f t="shared" si="2"/>
        <v>42</v>
      </c>
      <c r="S185" s="24">
        <v>20</v>
      </c>
      <c r="T185" s="21" t="s">
        <v>791</v>
      </c>
    </row>
    <row r="186" spans="1:20" ht="23.25" customHeight="1" x14ac:dyDescent="0.25">
      <c r="A186" s="20" t="s">
        <v>792</v>
      </c>
      <c r="B186" s="22">
        <v>2021</v>
      </c>
      <c r="C186" s="90" t="s">
        <v>21</v>
      </c>
      <c r="D186" s="22" t="s">
        <v>793</v>
      </c>
      <c r="E186" s="27" t="s">
        <v>794</v>
      </c>
      <c r="F186" s="29" t="s">
        <v>23</v>
      </c>
      <c r="G186" s="20" t="s">
        <v>199</v>
      </c>
      <c r="H186" s="36" t="s">
        <v>795</v>
      </c>
      <c r="I186" s="37">
        <v>44298</v>
      </c>
      <c r="J186" s="37">
        <v>44302</v>
      </c>
      <c r="K186" s="22" t="s">
        <v>26</v>
      </c>
      <c r="L186" s="28">
        <v>5980</v>
      </c>
      <c r="M186" s="86">
        <v>4.5999999999999996</v>
      </c>
      <c r="N186" s="41">
        <v>30</v>
      </c>
      <c r="O186" s="23">
        <v>32</v>
      </c>
      <c r="P186" s="23">
        <v>0</v>
      </c>
      <c r="Q186" s="23">
        <v>0</v>
      </c>
      <c r="R186" s="23">
        <f t="shared" si="2"/>
        <v>32</v>
      </c>
      <c r="S186" s="22">
        <v>15</v>
      </c>
      <c r="T186" s="20" t="s">
        <v>796</v>
      </c>
    </row>
    <row r="187" spans="1:20" ht="23.25" customHeight="1" x14ac:dyDescent="0.25">
      <c r="A187" s="21" t="s">
        <v>797</v>
      </c>
      <c r="B187" s="24">
        <v>2021</v>
      </c>
      <c r="C187" s="90" t="s">
        <v>21</v>
      </c>
      <c r="D187" s="24" t="s">
        <v>798</v>
      </c>
      <c r="E187" s="30" t="s">
        <v>799</v>
      </c>
      <c r="F187" s="31" t="s">
        <v>23</v>
      </c>
      <c r="G187" s="21" t="s">
        <v>68</v>
      </c>
      <c r="H187" s="38" t="s">
        <v>800</v>
      </c>
      <c r="I187" s="39">
        <v>44312</v>
      </c>
      <c r="J187" s="39">
        <v>44316</v>
      </c>
      <c r="K187" s="24" t="s">
        <v>35</v>
      </c>
      <c r="L187" s="26">
        <v>5384.72</v>
      </c>
      <c r="M187" s="87">
        <v>4.5999999999999996</v>
      </c>
      <c r="N187" s="40">
        <v>20</v>
      </c>
      <c r="O187" s="25">
        <v>12</v>
      </c>
      <c r="P187" s="25">
        <v>10</v>
      </c>
      <c r="Q187" s="25">
        <v>0</v>
      </c>
      <c r="R187" s="25">
        <f t="shared" si="2"/>
        <v>22</v>
      </c>
      <c r="S187" s="24">
        <v>12</v>
      </c>
      <c r="T187" s="21" t="s">
        <v>549</v>
      </c>
    </row>
    <row r="188" spans="1:20" ht="23.25" customHeight="1" x14ac:dyDescent="0.25">
      <c r="A188" s="20" t="s">
        <v>801</v>
      </c>
      <c r="B188" s="22">
        <v>2021</v>
      </c>
      <c r="C188" s="90" t="s">
        <v>21</v>
      </c>
      <c r="D188" s="22" t="s">
        <v>802</v>
      </c>
      <c r="E188" s="27" t="s">
        <v>803</v>
      </c>
      <c r="F188" s="29" t="s">
        <v>62</v>
      </c>
      <c r="G188" s="20" t="s">
        <v>72</v>
      </c>
      <c r="H188" s="36" t="s">
        <v>804</v>
      </c>
      <c r="I188" s="37">
        <v>44313</v>
      </c>
      <c r="J188" s="37">
        <v>44322</v>
      </c>
      <c r="K188" s="22" t="s">
        <v>35</v>
      </c>
      <c r="L188" s="28">
        <f>435.64+3285.26</f>
        <v>3720.9</v>
      </c>
      <c r="M188" s="86">
        <v>4.5</v>
      </c>
      <c r="N188" s="41">
        <v>590</v>
      </c>
      <c r="O188" s="23">
        <v>0</v>
      </c>
      <c r="P188" s="23">
        <v>590</v>
      </c>
      <c r="Q188" s="23">
        <v>0</v>
      </c>
      <c r="R188" s="23">
        <f t="shared" si="2"/>
        <v>590</v>
      </c>
      <c r="S188" s="22">
        <v>20</v>
      </c>
      <c r="T188" s="20" t="s">
        <v>805</v>
      </c>
    </row>
    <row r="189" spans="1:20" ht="23.25" customHeight="1" x14ac:dyDescent="0.25">
      <c r="A189" s="21" t="s">
        <v>806</v>
      </c>
      <c r="B189" s="24">
        <v>2021</v>
      </c>
      <c r="C189" s="90" t="s">
        <v>21</v>
      </c>
      <c r="D189" s="24" t="s">
        <v>807</v>
      </c>
      <c r="E189" s="30" t="s">
        <v>657</v>
      </c>
      <c r="F189" s="31" t="s">
        <v>23</v>
      </c>
      <c r="G189" s="21" t="s">
        <v>68</v>
      </c>
      <c r="H189" s="38" t="s">
        <v>808</v>
      </c>
      <c r="I189" s="39">
        <v>44319</v>
      </c>
      <c r="J189" s="39">
        <v>44344</v>
      </c>
      <c r="K189" s="24" t="s">
        <v>35</v>
      </c>
      <c r="L189" s="26">
        <f>394*20</f>
        <v>7880</v>
      </c>
      <c r="M189" s="87">
        <v>4.7</v>
      </c>
      <c r="N189" s="40">
        <v>40</v>
      </c>
      <c r="O189" s="25">
        <v>41</v>
      </c>
      <c r="P189" s="25">
        <v>0</v>
      </c>
      <c r="Q189" s="25">
        <v>0</v>
      </c>
      <c r="R189" s="25">
        <f t="shared" si="2"/>
        <v>41</v>
      </c>
      <c r="S189" s="24">
        <v>20</v>
      </c>
      <c r="T189" s="21" t="s">
        <v>809</v>
      </c>
    </row>
    <row r="190" spans="1:20" ht="23.25" customHeight="1" x14ac:dyDescent="0.25">
      <c r="A190" s="20" t="s">
        <v>810</v>
      </c>
      <c r="B190" s="22">
        <v>2021</v>
      </c>
      <c r="C190" s="90" t="s">
        <v>21</v>
      </c>
      <c r="D190" s="22" t="s">
        <v>811</v>
      </c>
      <c r="E190" s="27" t="s">
        <v>812</v>
      </c>
      <c r="F190" s="29" t="s">
        <v>23</v>
      </c>
      <c r="G190" s="20" t="s">
        <v>457</v>
      </c>
      <c r="H190" s="50">
        <v>44382</v>
      </c>
      <c r="I190" s="37">
        <v>44323</v>
      </c>
      <c r="J190" s="37">
        <v>44323</v>
      </c>
      <c r="K190" s="22" t="s">
        <v>26</v>
      </c>
      <c r="L190" s="28">
        <v>0</v>
      </c>
      <c r="M190" s="86">
        <v>4.5999999999999996</v>
      </c>
      <c r="N190" s="41">
        <v>80</v>
      </c>
      <c r="O190" s="23">
        <v>80</v>
      </c>
      <c r="P190" s="23">
        <v>0</v>
      </c>
      <c r="Q190" s="23">
        <v>0</v>
      </c>
      <c r="R190" s="23">
        <f t="shared" si="2"/>
        <v>80</v>
      </c>
      <c r="S190" s="22">
        <v>1.5</v>
      </c>
      <c r="T190" s="20" t="s">
        <v>813</v>
      </c>
    </row>
    <row r="191" spans="1:20" ht="23.25" customHeight="1" x14ac:dyDescent="0.25">
      <c r="A191" s="21" t="s">
        <v>814</v>
      </c>
      <c r="B191" s="24">
        <v>2021</v>
      </c>
      <c r="C191" s="90" t="s">
        <v>21</v>
      </c>
      <c r="D191" s="24" t="s">
        <v>815</v>
      </c>
      <c r="E191" s="30" t="s">
        <v>816</v>
      </c>
      <c r="F191" s="31" t="s">
        <v>81</v>
      </c>
      <c r="G191" s="21" t="s">
        <v>72</v>
      </c>
      <c r="H191" s="38" t="s">
        <v>817</v>
      </c>
      <c r="I191" s="39">
        <v>44325</v>
      </c>
      <c r="J191" s="39">
        <v>44325</v>
      </c>
      <c r="K191" s="24" t="s">
        <v>35</v>
      </c>
      <c r="L191" s="26">
        <f>11040</f>
        <v>11040</v>
      </c>
      <c r="M191" s="87">
        <v>5</v>
      </c>
      <c r="N191" s="40">
        <v>36</v>
      </c>
      <c r="O191" s="25">
        <v>0</v>
      </c>
      <c r="P191" s="25">
        <v>0</v>
      </c>
      <c r="Q191" s="25">
        <v>36</v>
      </c>
      <c r="R191" s="25">
        <f t="shared" si="2"/>
        <v>36</v>
      </c>
      <c r="S191" s="24">
        <v>2</v>
      </c>
      <c r="T191" s="21" t="s">
        <v>818</v>
      </c>
    </row>
    <row r="192" spans="1:20" ht="23.25" customHeight="1" x14ac:dyDescent="0.25">
      <c r="A192" s="20" t="s">
        <v>819</v>
      </c>
      <c r="B192" s="22">
        <v>2021</v>
      </c>
      <c r="C192" s="90" t="s">
        <v>21</v>
      </c>
      <c r="D192" s="22" t="s">
        <v>820</v>
      </c>
      <c r="E192" s="27" t="s">
        <v>821</v>
      </c>
      <c r="F192" s="29" t="s">
        <v>23</v>
      </c>
      <c r="G192" s="20" t="s">
        <v>38</v>
      </c>
      <c r="H192" s="36" t="s">
        <v>822</v>
      </c>
      <c r="I192" s="37">
        <v>44326</v>
      </c>
      <c r="J192" s="37">
        <v>44330</v>
      </c>
      <c r="K192" s="22" t="s">
        <v>26</v>
      </c>
      <c r="L192" s="28">
        <v>19800</v>
      </c>
      <c r="M192" s="86">
        <v>4.5999999999999996</v>
      </c>
      <c r="N192" s="41">
        <v>80</v>
      </c>
      <c r="O192" s="23">
        <v>70</v>
      </c>
      <c r="P192" s="23">
        <v>0</v>
      </c>
      <c r="Q192" s="23">
        <v>0</v>
      </c>
      <c r="R192" s="23">
        <f t="shared" si="2"/>
        <v>70</v>
      </c>
      <c r="S192" s="22">
        <v>8</v>
      </c>
      <c r="T192" s="20" t="s">
        <v>823</v>
      </c>
    </row>
    <row r="193" spans="1:20" ht="23.25" customHeight="1" x14ac:dyDescent="0.25">
      <c r="A193" s="21" t="s">
        <v>824</v>
      </c>
      <c r="B193" s="24">
        <v>2021</v>
      </c>
      <c r="C193" s="90" t="s">
        <v>21</v>
      </c>
      <c r="D193" s="24" t="s">
        <v>825</v>
      </c>
      <c r="E193" s="30" t="s">
        <v>826</v>
      </c>
      <c r="F193" s="31" t="s">
        <v>23</v>
      </c>
      <c r="G193" s="21" t="s">
        <v>199</v>
      </c>
      <c r="H193" s="38" t="s">
        <v>827</v>
      </c>
      <c r="I193" s="39">
        <v>44327</v>
      </c>
      <c r="J193" s="39">
        <v>44336</v>
      </c>
      <c r="K193" s="24" t="s">
        <v>26</v>
      </c>
      <c r="L193" s="26">
        <v>5980</v>
      </c>
      <c r="M193" s="87">
        <v>4.8</v>
      </c>
      <c r="N193" s="40">
        <v>30</v>
      </c>
      <c r="O193" s="25">
        <v>21</v>
      </c>
      <c r="P193" s="25">
        <v>0</v>
      </c>
      <c r="Q193" s="25">
        <v>0</v>
      </c>
      <c r="R193" s="25">
        <f t="shared" si="2"/>
        <v>21</v>
      </c>
      <c r="S193" s="24">
        <v>15</v>
      </c>
      <c r="T193" s="21" t="s">
        <v>828</v>
      </c>
    </row>
    <row r="194" spans="1:20" ht="23.25" customHeight="1" x14ac:dyDescent="0.25">
      <c r="A194" s="20" t="s">
        <v>829</v>
      </c>
      <c r="B194" s="22">
        <v>2021</v>
      </c>
      <c r="C194" s="90" t="s">
        <v>21</v>
      </c>
      <c r="D194" s="22" t="s">
        <v>811</v>
      </c>
      <c r="E194" s="27" t="s">
        <v>830</v>
      </c>
      <c r="F194" s="29" t="s">
        <v>23</v>
      </c>
      <c r="G194" s="20" t="s">
        <v>38</v>
      </c>
      <c r="H194" s="36" t="s">
        <v>831</v>
      </c>
      <c r="I194" s="37">
        <v>44330</v>
      </c>
      <c r="J194" s="37">
        <v>44337</v>
      </c>
      <c r="K194" s="22" t="s">
        <v>26</v>
      </c>
      <c r="L194" s="28">
        <v>5800</v>
      </c>
      <c r="M194" s="86">
        <v>4.5</v>
      </c>
      <c r="N194" s="41">
        <v>24</v>
      </c>
      <c r="O194" s="23">
        <v>20</v>
      </c>
      <c r="P194" s="23">
        <v>0</v>
      </c>
      <c r="Q194" s="23">
        <v>0</v>
      </c>
      <c r="R194" s="23">
        <f t="shared" ref="R194:R257" si="3">SUM(O194:Q194)</f>
        <v>20</v>
      </c>
      <c r="S194" s="22">
        <v>14</v>
      </c>
      <c r="T194" s="20" t="s">
        <v>813</v>
      </c>
    </row>
    <row r="195" spans="1:20" ht="23.25" customHeight="1" x14ac:dyDescent="0.25">
      <c r="A195" s="21" t="s">
        <v>832</v>
      </c>
      <c r="B195" s="24">
        <v>2021</v>
      </c>
      <c r="C195" s="90" t="s">
        <v>21</v>
      </c>
      <c r="D195" s="24" t="s">
        <v>807</v>
      </c>
      <c r="E195" s="30" t="s">
        <v>666</v>
      </c>
      <c r="F195" s="31" t="s">
        <v>23</v>
      </c>
      <c r="G195" s="21" t="s">
        <v>68</v>
      </c>
      <c r="H195" s="38" t="s">
        <v>833</v>
      </c>
      <c r="I195" s="39">
        <v>44340</v>
      </c>
      <c r="J195" s="39">
        <v>44344</v>
      </c>
      <c r="K195" s="24" t="s">
        <v>35</v>
      </c>
      <c r="L195" s="26">
        <v>5914.42</v>
      </c>
      <c r="M195" s="87">
        <v>4.7</v>
      </c>
      <c r="N195" s="40">
        <v>20</v>
      </c>
      <c r="O195" s="25">
        <v>28</v>
      </c>
      <c r="P195" s="25">
        <v>0</v>
      </c>
      <c r="Q195" s="25">
        <v>0</v>
      </c>
      <c r="R195" s="25">
        <f t="shared" si="3"/>
        <v>28</v>
      </c>
      <c r="S195" s="24">
        <v>20</v>
      </c>
      <c r="T195" s="21" t="s">
        <v>809</v>
      </c>
    </row>
    <row r="196" spans="1:20" ht="23.25" customHeight="1" x14ac:dyDescent="0.25">
      <c r="A196" s="20" t="s">
        <v>834</v>
      </c>
      <c r="B196" s="22">
        <v>2021</v>
      </c>
      <c r="C196" s="90" t="s">
        <v>21</v>
      </c>
      <c r="D196" s="22" t="s">
        <v>835</v>
      </c>
      <c r="E196" s="27" t="s">
        <v>692</v>
      </c>
      <c r="F196" s="29" t="s">
        <v>23</v>
      </c>
      <c r="G196" s="20" t="s">
        <v>68</v>
      </c>
      <c r="H196" s="36" t="s">
        <v>836</v>
      </c>
      <c r="I196" s="37">
        <v>44341</v>
      </c>
      <c r="J196" s="37">
        <v>44357</v>
      </c>
      <c r="K196" s="22" t="s">
        <v>35</v>
      </c>
      <c r="L196" s="28">
        <v>10116.42</v>
      </c>
      <c r="M196" s="86">
        <v>4.5999999999999996</v>
      </c>
      <c r="N196" s="41">
        <v>20</v>
      </c>
      <c r="O196" s="23">
        <v>19</v>
      </c>
      <c r="P196" s="23">
        <v>6</v>
      </c>
      <c r="Q196" s="23">
        <v>0</v>
      </c>
      <c r="R196" s="23">
        <f t="shared" si="3"/>
        <v>25</v>
      </c>
      <c r="S196" s="22">
        <v>24</v>
      </c>
      <c r="T196" s="20" t="s">
        <v>837</v>
      </c>
    </row>
    <row r="197" spans="1:20" ht="23.25" customHeight="1" x14ac:dyDescent="0.25">
      <c r="A197" s="21" t="s">
        <v>838</v>
      </c>
      <c r="B197" s="24">
        <v>2021</v>
      </c>
      <c r="C197" s="90" t="s">
        <v>21</v>
      </c>
      <c r="D197" s="24" t="s">
        <v>839</v>
      </c>
      <c r="E197" s="30" t="s">
        <v>840</v>
      </c>
      <c r="F197" s="31" t="s">
        <v>23</v>
      </c>
      <c r="G197" s="21" t="s">
        <v>38</v>
      </c>
      <c r="H197" s="38" t="s">
        <v>841</v>
      </c>
      <c r="I197" s="39">
        <v>44347</v>
      </c>
      <c r="J197" s="39">
        <v>44375</v>
      </c>
      <c r="K197" s="24" t="s">
        <v>26</v>
      </c>
      <c r="L197" s="26">
        <v>35700</v>
      </c>
      <c r="M197" s="87">
        <v>5</v>
      </c>
      <c r="N197" s="40">
        <v>15</v>
      </c>
      <c r="O197" s="25">
        <v>14</v>
      </c>
      <c r="P197" s="25">
        <v>0</v>
      </c>
      <c r="Q197" s="25">
        <v>0</v>
      </c>
      <c r="R197" s="25">
        <f t="shared" si="3"/>
        <v>14</v>
      </c>
      <c r="S197" s="24">
        <v>12</v>
      </c>
      <c r="T197" s="21" t="s">
        <v>842</v>
      </c>
    </row>
    <row r="198" spans="1:20" ht="23.25" customHeight="1" x14ac:dyDescent="0.25">
      <c r="A198" s="20" t="s">
        <v>843</v>
      </c>
      <c r="B198" s="22">
        <v>2021</v>
      </c>
      <c r="C198" s="90" t="s">
        <v>21</v>
      </c>
      <c r="D198" s="22" t="s">
        <v>844</v>
      </c>
      <c r="E198" s="27" t="s">
        <v>845</v>
      </c>
      <c r="F198" s="29" t="s">
        <v>23</v>
      </c>
      <c r="G198" s="20" t="s">
        <v>24</v>
      </c>
      <c r="H198" s="50">
        <v>44233</v>
      </c>
      <c r="I198" s="37">
        <v>44349</v>
      </c>
      <c r="J198" s="37">
        <v>44349</v>
      </c>
      <c r="K198" s="22" t="s">
        <v>35</v>
      </c>
      <c r="L198" s="28">
        <v>390</v>
      </c>
      <c r="M198" s="86">
        <v>5</v>
      </c>
      <c r="N198" s="41">
        <v>46</v>
      </c>
      <c r="O198" s="23">
        <v>46</v>
      </c>
      <c r="P198" s="23">
        <v>0</v>
      </c>
      <c r="Q198" s="23">
        <v>0</v>
      </c>
      <c r="R198" s="23">
        <f t="shared" si="3"/>
        <v>46</v>
      </c>
      <c r="S198" s="22">
        <v>2</v>
      </c>
      <c r="T198" s="20" t="s">
        <v>584</v>
      </c>
    </row>
    <row r="199" spans="1:20" ht="23.25" customHeight="1" x14ac:dyDescent="0.25">
      <c r="A199" s="21" t="s">
        <v>846</v>
      </c>
      <c r="B199" s="24">
        <v>2021</v>
      </c>
      <c r="C199" s="90" t="s">
        <v>21</v>
      </c>
      <c r="D199" s="24" t="s">
        <v>847</v>
      </c>
      <c r="E199" s="30" t="s">
        <v>848</v>
      </c>
      <c r="F199" s="31" t="s">
        <v>23</v>
      </c>
      <c r="G199" s="21" t="s">
        <v>199</v>
      </c>
      <c r="H199" s="38" t="s">
        <v>849</v>
      </c>
      <c r="I199" s="39">
        <v>44358</v>
      </c>
      <c r="J199" s="39">
        <v>44358</v>
      </c>
      <c r="K199" s="24" t="s">
        <v>35</v>
      </c>
      <c r="L199" s="51">
        <v>0</v>
      </c>
      <c r="M199" s="87">
        <v>5</v>
      </c>
      <c r="N199" s="40">
        <v>98</v>
      </c>
      <c r="O199" s="25">
        <v>98</v>
      </c>
      <c r="P199" s="25">
        <v>0</v>
      </c>
      <c r="Q199" s="25">
        <v>0</v>
      </c>
      <c r="R199" s="25">
        <f t="shared" si="3"/>
        <v>98</v>
      </c>
      <c r="S199" s="24">
        <v>2</v>
      </c>
      <c r="T199" s="21" t="s">
        <v>850</v>
      </c>
    </row>
    <row r="200" spans="1:20" ht="23.25" customHeight="1" x14ac:dyDescent="0.25">
      <c r="A200" s="20" t="s">
        <v>851</v>
      </c>
      <c r="B200" s="22">
        <v>2021</v>
      </c>
      <c r="C200" s="90" t="s">
        <v>21</v>
      </c>
      <c r="D200" s="22" t="s">
        <v>852</v>
      </c>
      <c r="E200" s="27" t="s">
        <v>853</v>
      </c>
      <c r="F200" s="29" t="s">
        <v>81</v>
      </c>
      <c r="G200" s="20" t="s">
        <v>72</v>
      </c>
      <c r="H200" s="36" t="s">
        <v>854</v>
      </c>
      <c r="I200" s="37">
        <v>44361</v>
      </c>
      <c r="J200" s="37">
        <v>44365</v>
      </c>
      <c r="K200" s="22" t="s">
        <v>35</v>
      </c>
      <c r="L200" s="28">
        <v>5384.88</v>
      </c>
      <c r="M200" s="86">
        <v>4.8</v>
      </c>
      <c r="N200" s="41">
        <v>40</v>
      </c>
      <c r="O200" s="23">
        <v>6</v>
      </c>
      <c r="P200" s="23">
        <v>0</v>
      </c>
      <c r="Q200" s="23">
        <v>44</v>
      </c>
      <c r="R200" s="23">
        <f t="shared" si="3"/>
        <v>50</v>
      </c>
      <c r="S200" s="22">
        <v>9</v>
      </c>
      <c r="T200" s="20" t="s">
        <v>855</v>
      </c>
    </row>
    <row r="201" spans="1:20" ht="23.25" customHeight="1" x14ac:dyDescent="0.25">
      <c r="A201" s="21" t="s">
        <v>856</v>
      </c>
      <c r="B201" s="24">
        <v>2021</v>
      </c>
      <c r="C201" s="90" t="s">
        <v>21</v>
      </c>
      <c r="D201" s="24" t="s">
        <v>793</v>
      </c>
      <c r="E201" s="30" t="s">
        <v>857</v>
      </c>
      <c r="F201" s="31" t="s">
        <v>23</v>
      </c>
      <c r="G201" s="21" t="s">
        <v>199</v>
      </c>
      <c r="H201" s="38" t="s">
        <v>858</v>
      </c>
      <c r="I201" s="39">
        <v>44361</v>
      </c>
      <c r="J201" s="39">
        <v>44365</v>
      </c>
      <c r="K201" s="24" t="s">
        <v>26</v>
      </c>
      <c r="L201" s="26">
        <v>5980</v>
      </c>
      <c r="M201" s="87">
        <v>4.8</v>
      </c>
      <c r="N201" s="40">
        <v>30</v>
      </c>
      <c r="O201" s="25">
        <v>17</v>
      </c>
      <c r="P201" s="25">
        <v>0</v>
      </c>
      <c r="Q201" s="25">
        <v>0</v>
      </c>
      <c r="R201" s="25">
        <f t="shared" si="3"/>
        <v>17</v>
      </c>
      <c r="S201" s="24">
        <v>15</v>
      </c>
      <c r="T201" s="21" t="s">
        <v>796</v>
      </c>
    </row>
    <row r="202" spans="1:20" ht="23.25" customHeight="1" x14ac:dyDescent="0.25">
      <c r="A202" s="20" t="s">
        <v>859</v>
      </c>
      <c r="B202" s="22">
        <v>2021</v>
      </c>
      <c r="C202" s="90" t="s">
        <v>21</v>
      </c>
      <c r="D202" s="22" t="s">
        <v>860</v>
      </c>
      <c r="E202" s="27" t="s">
        <v>861</v>
      </c>
      <c r="F202" s="29" t="s">
        <v>23</v>
      </c>
      <c r="G202" s="20" t="s">
        <v>38</v>
      </c>
      <c r="H202" s="36" t="s">
        <v>862</v>
      </c>
      <c r="I202" s="37">
        <v>44385</v>
      </c>
      <c r="J202" s="37">
        <v>44396</v>
      </c>
      <c r="K202" s="22" t="s">
        <v>26</v>
      </c>
      <c r="L202" s="52">
        <v>37800</v>
      </c>
      <c r="M202" s="86">
        <v>4.5999999999999996</v>
      </c>
      <c r="N202" s="41">
        <v>80</v>
      </c>
      <c r="O202" s="23">
        <v>43</v>
      </c>
      <c r="P202" s="23">
        <v>10</v>
      </c>
      <c r="Q202" s="23">
        <v>0</v>
      </c>
      <c r="R202" s="23">
        <f t="shared" si="3"/>
        <v>53</v>
      </c>
      <c r="S202" s="22">
        <v>8</v>
      </c>
      <c r="T202" s="20" t="s">
        <v>863</v>
      </c>
    </row>
    <row r="203" spans="1:20" ht="23.25" customHeight="1" x14ac:dyDescent="0.25">
      <c r="A203" s="21" t="s">
        <v>864</v>
      </c>
      <c r="B203" s="24">
        <v>2021</v>
      </c>
      <c r="C203" s="90" t="s">
        <v>21</v>
      </c>
      <c r="D203" s="24" t="s">
        <v>825</v>
      </c>
      <c r="E203" s="30" t="s">
        <v>865</v>
      </c>
      <c r="F203" s="31" t="s">
        <v>23</v>
      </c>
      <c r="G203" s="21" t="s">
        <v>199</v>
      </c>
      <c r="H203" s="38" t="s">
        <v>866</v>
      </c>
      <c r="I203" s="39">
        <v>44389</v>
      </c>
      <c r="J203" s="39">
        <v>44393</v>
      </c>
      <c r="K203" s="24" t="s">
        <v>26</v>
      </c>
      <c r="L203" s="26">
        <v>5980</v>
      </c>
      <c r="M203" s="87">
        <v>4.5999999999999996</v>
      </c>
      <c r="N203" s="40">
        <v>30</v>
      </c>
      <c r="O203" s="25">
        <v>16</v>
      </c>
      <c r="P203" s="25">
        <v>0</v>
      </c>
      <c r="Q203" s="25">
        <v>0</v>
      </c>
      <c r="R203" s="25">
        <f t="shared" si="3"/>
        <v>16</v>
      </c>
      <c r="S203" s="24">
        <v>15</v>
      </c>
      <c r="T203" s="21" t="s">
        <v>828</v>
      </c>
    </row>
    <row r="204" spans="1:20" ht="23.25" customHeight="1" x14ac:dyDescent="0.25">
      <c r="A204" s="20" t="s">
        <v>867</v>
      </c>
      <c r="B204" s="22">
        <v>2021</v>
      </c>
      <c r="C204" s="90" t="s">
        <v>21</v>
      </c>
      <c r="D204" s="22" t="s">
        <v>868</v>
      </c>
      <c r="E204" s="27" t="s">
        <v>869</v>
      </c>
      <c r="F204" s="29" t="s">
        <v>81</v>
      </c>
      <c r="G204" s="20" t="s">
        <v>72</v>
      </c>
      <c r="H204" s="36" t="s">
        <v>870</v>
      </c>
      <c r="I204" s="37">
        <v>44397</v>
      </c>
      <c r="J204" s="37">
        <v>44399</v>
      </c>
      <c r="K204" s="22" t="s">
        <v>26</v>
      </c>
      <c r="L204" s="28">
        <v>4750</v>
      </c>
      <c r="M204" s="86">
        <v>4.5999999999999996</v>
      </c>
      <c r="N204" s="41">
        <v>40</v>
      </c>
      <c r="O204" s="23">
        <v>0</v>
      </c>
      <c r="P204" s="23">
        <v>0</v>
      </c>
      <c r="Q204" s="23">
        <v>59</v>
      </c>
      <c r="R204" s="23">
        <f t="shared" si="3"/>
        <v>59</v>
      </c>
      <c r="S204" s="22">
        <v>12</v>
      </c>
      <c r="T204" s="20" t="s">
        <v>335</v>
      </c>
    </row>
    <row r="205" spans="1:20" ht="23.25" customHeight="1" x14ac:dyDescent="0.25">
      <c r="A205" s="21" t="s">
        <v>871</v>
      </c>
      <c r="B205" s="24">
        <v>2021</v>
      </c>
      <c r="C205" s="90" t="s">
        <v>21</v>
      </c>
      <c r="D205" s="24" t="s">
        <v>847</v>
      </c>
      <c r="E205" s="30" t="s">
        <v>872</v>
      </c>
      <c r="F205" s="31" t="s">
        <v>23</v>
      </c>
      <c r="G205" s="21" t="s">
        <v>199</v>
      </c>
      <c r="H205" s="38" t="s">
        <v>873</v>
      </c>
      <c r="I205" s="39">
        <v>44400</v>
      </c>
      <c r="J205" s="39">
        <v>44400</v>
      </c>
      <c r="K205" s="24" t="s">
        <v>35</v>
      </c>
      <c r="L205" s="26">
        <v>0</v>
      </c>
      <c r="M205" s="87">
        <v>5</v>
      </c>
      <c r="N205" s="40">
        <v>76</v>
      </c>
      <c r="O205" s="25">
        <v>76</v>
      </c>
      <c r="P205" s="25">
        <v>0</v>
      </c>
      <c r="Q205" s="25">
        <v>0</v>
      </c>
      <c r="R205" s="25">
        <f t="shared" si="3"/>
        <v>76</v>
      </c>
      <c r="S205" s="24">
        <v>2</v>
      </c>
      <c r="T205" s="21" t="s">
        <v>850</v>
      </c>
    </row>
    <row r="206" spans="1:20" ht="23.25" customHeight="1" x14ac:dyDescent="0.25">
      <c r="A206" s="20" t="s">
        <v>874</v>
      </c>
      <c r="B206" s="22">
        <v>2021</v>
      </c>
      <c r="C206" s="90" t="s">
        <v>21</v>
      </c>
      <c r="D206" s="22" t="s">
        <v>875</v>
      </c>
      <c r="E206" s="27" t="s">
        <v>876</v>
      </c>
      <c r="F206" s="29" t="s">
        <v>23</v>
      </c>
      <c r="G206" s="20" t="s">
        <v>24</v>
      </c>
      <c r="H206" s="50" t="s">
        <v>877</v>
      </c>
      <c r="I206" s="37">
        <v>44407</v>
      </c>
      <c r="J206" s="37">
        <v>44407</v>
      </c>
      <c r="K206" s="22" t="s">
        <v>35</v>
      </c>
      <c r="L206" s="28">
        <v>897.48</v>
      </c>
      <c r="M206" s="86">
        <v>5</v>
      </c>
      <c r="N206" s="41">
        <v>33</v>
      </c>
      <c r="O206" s="23">
        <v>33</v>
      </c>
      <c r="P206" s="23">
        <v>0</v>
      </c>
      <c r="Q206" s="23">
        <v>0</v>
      </c>
      <c r="R206" s="23">
        <f t="shared" si="3"/>
        <v>33</v>
      </c>
      <c r="S206" s="22">
        <v>2</v>
      </c>
      <c r="T206" s="33" t="s">
        <v>211</v>
      </c>
    </row>
    <row r="207" spans="1:20" ht="23.25" customHeight="1" x14ac:dyDescent="0.25">
      <c r="A207" s="21" t="s">
        <v>878</v>
      </c>
      <c r="B207" s="24">
        <v>2021</v>
      </c>
      <c r="C207" s="90" t="s">
        <v>21</v>
      </c>
      <c r="D207" s="24" t="s">
        <v>879</v>
      </c>
      <c r="E207" s="30" t="s">
        <v>880</v>
      </c>
      <c r="F207" s="31" t="s">
        <v>23</v>
      </c>
      <c r="G207" s="21" t="s">
        <v>38</v>
      </c>
      <c r="H207" s="38" t="s">
        <v>881</v>
      </c>
      <c r="I207" s="39">
        <v>44413</v>
      </c>
      <c r="J207" s="39">
        <v>44414</v>
      </c>
      <c r="K207" s="24" t="s">
        <v>26</v>
      </c>
      <c r="L207" s="26">
        <v>19800</v>
      </c>
      <c r="M207" s="87">
        <v>4.5</v>
      </c>
      <c r="N207" s="40">
        <v>80</v>
      </c>
      <c r="O207" s="25">
        <v>16</v>
      </c>
      <c r="P207" s="25">
        <v>42</v>
      </c>
      <c r="Q207" s="25">
        <v>0</v>
      </c>
      <c r="R207" s="25">
        <f t="shared" si="3"/>
        <v>58</v>
      </c>
      <c r="S207" s="24">
        <v>8</v>
      </c>
      <c r="T207" s="21" t="s">
        <v>882</v>
      </c>
    </row>
    <row r="208" spans="1:20" ht="23.25" customHeight="1" x14ac:dyDescent="0.25">
      <c r="A208" s="20" t="s">
        <v>883</v>
      </c>
      <c r="B208" s="22">
        <v>2021</v>
      </c>
      <c r="C208" s="90" t="s">
        <v>21</v>
      </c>
      <c r="D208" s="22" t="s">
        <v>852</v>
      </c>
      <c r="E208" s="27" t="s">
        <v>884</v>
      </c>
      <c r="F208" s="29" t="s">
        <v>81</v>
      </c>
      <c r="G208" s="20" t="s">
        <v>72</v>
      </c>
      <c r="H208" s="36" t="s">
        <v>885</v>
      </c>
      <c r="I208" s="37">
        <v>44417</v>
      </c>
      <c r="J208" s="37">
        <v>44421</v>
      </c>
      <c r="K208" s="22" t="s">
        <v>35</v>
      </c>
      <c r="L208" s="28">
        <v>5384.88</v>
      </c>
      <c r="M208" s="86">
        <v>4.5999999999999996</v>
      </c>
      <c r="N208" s="41">
        <v>40</v>
      </c>
      <c r="O208" s="23">
        <v>2</v>
      </c>
      <c r="P208" s="23">
        <v>21</v>
      </c>
      <c r="Q208" s="23">
        <v>37</v>
      </c>
      <c r="R208" s="23">
        <f t="shared" si="3"/>
        <v>60</v>
      </c>
      <c r="S208" s="22">
        <v>9</v>
      </c>
      <c r="T208" s="20" t="s">
        <v>855</v>
      </c>
    </row>
    <row r="209" spans="1:20" ht="23.25" customHeight="1" x14ac:dyDescent="0.25">
      <c r="A209" s="21" t="s">
        <v>886</v>
      </c>
      <c r="B209" s="24">
        <v>2021</v>
      </c>
      <c r="C209" s="90" t="s">
        <v>21</v>
      </c>
      <c r="D209" s="24" t="s">
        <v>887</v>
      </c>
      <c r="E209" s="30" t="s">
        <v>888</v>
      </c>
      <c r="F209" s="31" t="s">
        <v>23</v>
      </c>
      <c r="G209" s="21" t="s">
        <v>33</v>
      </c>
      <c r="H209" s="38" t="s">
        <v>889</v>
      </c>
      <c r="I209" s="39">
        <v>44417</v>
      </c>
      <c r="J209" s="39">
        <v>44421</v>
      </c>
      <c r="K209" s="24" t="s">
        <v>26</v>
      </c>
      <c r="L209" s="26">
        <v>2125.79</v>
      </c>
      <c r="M209" s="87">
        <v>4.7</v>
      </c>
      <c r="N209" s="40">
        <v>20</v>
      </c>
      <c r="O209" s="25">
        <v>13</v>
      </c>
      <c r="P209" s="25">
        <v>0</v>
      </c>
      <c r="Q209" s="25">
        <v>0</v>
      </c>
      <c r="R209" s="25">
        <f t="shared" si="3"/>
        <v>13</v>
      </c>
      <c r="S209" s="24">
        <v>20</v>
      </c>
      <c r="T209" s="21" t="s">
        <v>677</v>
      </c>
    </row>
    <row r="210" spans="1:20" ht="23.25" customHeight="1" x14ac:dyDescent="0.25">
      <c r="A210" s="20" t="s">
        <v>890</v>
      </c>
      <c r="B210" s="22">
        <v>2021</v>
      </c>
      <c r="C210" s="90" t="s">
        <v>21</v>
      </c>
      <c r="D210" s="22" t="s">
        <v>891</v>
      </c>
      <c r="E210" s="27" t="s">
        <v>892</v>
      </c>
      <c r="F210" s="29" t="s">
        <v>23</v>
      </c>
      <c r="G210" s="20" t="s">
        <v>33</v>
      </c>
      <c r="H210" s="36" t="s">
        <v>893</v>
      </c>
      <c r="I210" s="37">
        <v>44421</v>
      </c>
      <c r="J210" s="37">
        <v>44442</v>
      </c>
      <c r="K210" s="22" t="s">
        <v>26</v>
      </c>
      <c r="L210" s="28">
        <v>0</v>
      </c>
      <c r="M210" s="86">
        <v>3.5</v>
      </c>
      <c r="N210" s="41">
        <v>40</v>
      </c>
      <c r="O210" s="23">
        <v>14</v>
      </c>
      <c r="P210" s="23">
        <v>0</v>
      </c>
      <c r="Q210" s="23">
        <v>0</v>
      </c>
      <c r="R210" s="23">
        <f t="shared" si="3"/>
        <v>14</v>
      </c>
      <c r="S210" s="22">
        <v>8</v>
      </c>
      <c r="T210" s="20" t="s">
        <v>894</v>
      </c>
    </row>
    <row r="211" spans="1:20" ht="23.25" customHeight="1" x14ac:dyDescent="0.25">
      <c r="A211" s="21" t="s">
        <v>895</v>
      </c>
      <c r="B211" s="24">
        <v>2021</v>
      </c>
      <c r="C211" s="90" t="s">
        <v>21</v>
      </c>
      <c r="D211" s="24" t="s">
        <v>896</v>
      </c>
      <c r="E211" s="30" t="s">
        <v>897</v>
      </c>
      <c r="F211" s="31" t="s">
        <v>62</v>
      </c>
      <c r="G211" s="21" t="s">
        <v>72</v>
      </c>
      <c r="H211" s="38" t="s">
        <v>898</v>
      </c>
      <c r="I211" s="39">
        <v>44424</v>
      </c>
      <c r="J211" s="39">
        <v>44427</v>
      </c>
      <c r="K211" s="24" t="s">
        <v>35</v>
      </c>
      <c r="L211" s="26">
        <v>9210.7800000000007</v>
      </c>
      <c r="M211" s="87">
        <v>4.5</v>
      </c>
      <c r="N211" s="40">
        <v>40</v>
      </c>
      <c r="O211" s="25">
        <v>1</v>
      </c>
      <c r="P211" s="25">
        <v>52</v>
      </c>
      <c r="Q211" s="25">
        <v>0</v>
      </c>
      <c r="R211" s="25">
        <f t="shared" si="3"/>
        <v>53</v>
      </c>
      <c r="S211" s="24">
        <v>16</v>
      </c>
      <c r="T211" s="21" t="s">
        <v>414</v>
      </c>
    </row>
    <row r="212" spans="1:20" ht="23.25" customHeight="1" x14ac:dyDescent="0.25">
      <c r="A212" s="20" t="s">
        <v>899</v>
      </c>
      <c r="B212" s="22">
        <v>2021</v>
      </c>
      <c r="C212" s="90" t="s">
        <v>21</v>
      </c>
      <c r="D212" s="22" t="s">
        <v>900</v>
      </c>
      <c r="E212" s="27" t="s">
        <v>901</v>
      </c>
      <c r="F212" s="29" t="s">
        <v>23</v>
      </c>
      <c r="G212" s="20" t="s">
        <v>38</v>
      </c>
      <c r="H212" s="36" t="s">
        <v>902</v>
      </c>
      <c r="I212" s="37">
        <v>44431</v>
      </c>
      <c r="J212" s="37">
        <v>44431</v>
      </c>
      <c r="K212" s="22" t="s">
        <v>26</v>
      </c>
      <c r="L212" s="28">
        <v>0</v>
      </c>
      <c r="M212" s="86">
        <v>4.8</v>
      </c>
      <c r="N212" s="41">
        <v>105</v>
      </c>
      <c r="O212" s="23">
        <v>105</v>
      </c>
      <c r="P212" s="23">
        <v>0</v>
      </c>
      <c r="Q212" s="23">
        <v>0</v>
      </c>
      <c r="R212" s="23">
        <f t="shared" si="3"/>
        <v>105</v>
      </c>
      <c r="S212" s="22">
        <v>1.5</v>
      </c>
      <c r="T212" s="20" t="s">
        <v>903</v>
      </c>
    </row>
    <row r="213" spans="1:20" ht="23.25" customHeight="1" x14ac:dyDescent="0.25">
      <c r="A213" s="21" t="s">
        <v>904</v>
      </c>
      <c r="B213" s="24">
        <v>2021</v>
      </c>
      <c r="C213" s="90" t="s">
        <v>21</v>
      </c>
      <c r="D213" s="24" t="s">
        <v>905</v>
      </c>
      <c r="E213" s="30" t="s">
        <v>906</v>
      </c>
      <c r="F213" s="31" t="s">
        <v>62</v>
      </c>
      <c r="G213" s="21" t="s">
        <v>72</v>
      </c>
      <c r="H213" s="38" t="s">
        <v>907</v>
      </c>
      <c r="I213" s="39">
        <v>44438</v>
      </c>
      <c r="J213" s="39">
        <v>44439</v>
      </c>
      <c r="K213" s="24" t="s">
        <v>26</v>
      </c>
      <c r="L213" s="26">
        <v>0</v>
      </c>
      <c r="M213" s="87">
        <v>5</v>
      </c>
      <c r="N213" s="40">
        <v>635</v>
      </c>
      <c r="O213" s="25">
        <v>57</v>
      </c>
      <c r="P213" s="25">
        <v>431</v>
      </c>
      <c r="Q213" s="25">
        <v>147</v>
      </c>
      <c r="R213" s="25">
        <f t="shared" si="3"/>
        <v>635</v>
      </c>
      <c r="S213" s="24">
        <v>4</v>
      </c>
      <c r="T213" s="21" t="s">
        <v>908</v>
      </c>
    </row>
    <row r="214" spans="1:20" ht="23.25" customHeight="1" x14ac:dyDescent="0.25">
      <c r="A214" s="20" t="s">
        <v>909</v>
      </c>
      <c r="B214" s="22">
        <v>2021</v>
      </c>
      <c r="C214" s="90" t="s">
        <v>21</v>
      </c>
      <c r="D214" s="22" t="s">
        <v>910</v>
      </c>
      <c r="E214" s="27" t="s">
        <v>911</v>
      </c>
      <c r="F214" s="29" t="s">
        <v>62</v>
      </c>
      <c r="G214" s="20" t="s">
        <v>72</v>
      </c>
      <c r="H214" s="36" t="s">
        <v>912</v>
      </c>
      <c r="I214" s="37">
        <v>44440</v>
      </c>
      <c r="J214" s="37">
        <v>44440</v>
      </c>
      <c r="K214" s="22" t="s">
        <v>35</v>
      </c>
      <c r="L214" s="28">
        <v>1800</v>
      </c>
      <c r="M214" s="86">
        <v>5</v>
      </c>
      <c r="N214" s="41">
        <v>30</v>
      </c>
      <c r="O214" s="23">
        <v>6</v>
      </c>
      <c r="P214" s="23">
        <v>28</v>
      </c>
      <c r="Q214" s="23">
        <v>0</v>
      </c>
      <c r="R214" s="23">
        <f t="shared" si="3"/>
        <v>34</v>
      </c>
      <c r="S214" s="22">
        <v>2</v>
      </c>
      <c r="T214" s="20" t="s">
        <v>913</v>
      </c>
    </row>
    <row r="215" spans="1:20" ht="23.25" customHeight="1" x14ac:dyDescent="0.25">
      <c r="A215" s="21" t="s">
        <v>914</v>
      </c>
      <c r="B215" s="24">
        <v>2021</v>
      </c>
      <c r="C215" s="90" t="s">
        <v>21</v>
      </c>
      <c r="D215" s="24" t="s">
        <v>915</v>
      </c>
      <c r="E215" s="30" t="s">
        <v>916</v>
      </c>
      <c r="F215" s="31" t="s">
        <v>62</v>
      </c>
      <c r="G215" s="21" t="s">
        <v>72</v>
      </c>
      <c r="H215" s="38" t="s">
        <v>912</v>
      </c>
      <c r="I215" s="39">
        <v>44440</v>
      </c>
      <c r="J215" s="39">
        <v>44440</v>
      </c>
      <c r="K215" s="24" t="s">
        <v>35</v>
      </c>
      <c r="L215" s="26">
        <v>1577.18</v>
      </c>
      <c r="M215" s="87">
        <v>5</v>
      </c>
      <c r="N215" s="40">
        <v>32</v>
      </c>
      <c r="O215" s="25">
        <v>5</v>
      </c>
      <c r="P215" s="25">
        <v>27</v>
      </c>
      <c r="Q215" s="25">
        <v>0</v>
      </c>
      <c r="R215" s="25">
        <f t="shared" si="3"/>
        <v>32</v>
      </c>
      <c r="S215" s="24">
        <v>4</v>
      </c>
      <c r="T215" s="21" t="s">
        <v>917</v>
      </c>
    </row>
    <row r="216" spans="1:20" ht="23.25" customHeight="1" x14ac:dyDescent="0.25">
      <c r="A216" s="20" t="s">
        <v>918</v>
      </c>
      <c r="B216" s="22">
        <v>2021</v>
      </c>
      <c r="C216" s="90" t="s">
        <v>21</v>
      </c>
      <c r="D216" s="22" t="s">
        <v>919</v>
      </c>
      <c r="E216" s="27" t="s">
        <v>920</v>
      </c>
      <c r="F216" s="29" t="s">
        <v>23</v>
      </c>
      <c r="G216" s="20" t="s">
        <v>364</v>
      </c>
      <c r="H216" s="36" t="s">
        <v>921</v>
      </c>
      <c r="I216" s="37">
        <v>44449</v>
      </c>
      <c r="J216" s="37">
        <v>44453</v>
      </c>
      <c r="K216" s="22" t="s">
        <v>35</v>
      </c>
      <c r="L216" s="28">
        <v>9000</v>
      </c>
      <c r="M216" s="86">
        <v>4.5999999999999996</v>
      </c>
      <c r="N216" s="41">
        <v>10</v>
      </c>
      <c r="O216" s="23">
        <v>10</v>
      </c>
      <c r="P216" s="23">
        <v>0</v>
      </c>
      <c r="Q216" s="23">
        <v>0</v>
      </c>
      <c r="R216" s="23">
        <f t="shared" si="3"/>
        <v>10</v>
      </c>
      <c r="S216" s="22">
        <v>10.5</v>
      </c>
      <c r="T216" s="20" t="s">
        <v>922</v>
      </c>
    </row>
    <row r="217" spans="1:20" ht="23.25" customHeight="1" x14ac:dyDescent="0.25">
      <c r="A217" s="21" t="s">
        <v>923</v>
      </c>
      <c r="B217" s="24">
        <v>2021</v>
      </c>
      <c r="C217" s="90" t="s">
        <v>21</v>
      </c>
      <c r="D217" s="24" t="s">
        <v>887</v>
      </c>
      <c r="E217" s="30" t="s">
        <v>924</v>
      </c>
      <c r="F217" s="31" t="s">
        <v>23</v>
      </c>
      <c r="G217" s="21" t="s">
        <v>33</v>
      </c>
      <c r="H217" s="38" t="s">
        <v>925</v>
      </c>
      <c r="I217" s="39">
        <v>44459</v>
      </c>
      <c r="J217" s="39">
        <v>44463</v>
      </c>
      <c r="K217" s="24" t="s">
        <v>26</v>
      </c>
      <c r="L217" s="26">
        <v>2125.79</v>
      </c>
      <c r="M217" s="87">
        <v>4.5</v>
      </c>
      <c r="N217" s="40">
        <v>20</v>
      </c>
      <c r="O217" s="25">
        <v>16</v>
      </c>
      <c r="P217" s="25">
        <v>0</v>
      </c>
      <c r="Q217" s="25">
        <v>0</v>
      </c>
      <c r="R217" s="25">
        <f t="shared" si="3"/>
        <v>16</v>
      </c>
      <c r="S217" s="24">
        <v>20</v>
      </c>
      <c r="T217" s="21" t="s">
        <v>677</v>
      </c>
    </row>
    <row r="218" spans="1:20" ht="23.25" customHeight="1" x14ac:dyDescent="0.25">
      <c r="A218" s="20" t="s">
        <v>926</v>
      </c>
      <c r="B218" s="22">
        <v>2021</v>
      </c>
      <c r="C218" s="90" t="s">
        <v>21</v>
      </c>
      <c r="D218" s="22" t="s">
        <v>927</v>
      </c>
      <c r="E218" s="27" t="s">
        <v>928</v>
      </c>
      <c r="F218" s="29" t="s">
        <v>23</v>
      </c>
      <c r="G218" s="20" t="s">
        <v>457</v>
      </c>
      <c r="H218" s="36" t="s">
        <v>929</v>
      </c>
      <c r="I218" s="37">
        <v>44460</v>
      </c>
      <c r="J218" s="37">
        <v>44473</v>
      </c>
      <c r="K218" s="22" t="s">
        <v>26</v>
      </c>
      <c r="L218" s="28">
        <v>6960</v>
      </c>
      <c r="M218" s="86">
        <v>4.5</v>
      </c>
      <c r="N218" s="41">
        <v>50</v>
      </c>
      <c r="O218" s="23">
        <v>20</v>
      </c>
      <c r="P218" s="23">
        <v>0</v>
      </c>
      <c r="Q218" s="23">
        <v>0</v>
      </c>
      <c r="R218" s="23">
        <f t="shared" si="3"/>
        <v>20</v>
      </c>
      <c r="S218" s="22">
        <v>8</v>
      </c>
      <c r="T218" s="20" t="s">
        <v>930</v>
      </c>
    </row>
    <row r="219" spans="1:20" ht="23.25" customHeight="1" x14ac:dyDescent="0.25">
      <c r="A219" s="21" t="s">
        <v>931</v>
      </c>
      <c r="B219" s="24">
        <v>2021</v>
      </c>
      <c r="C219" s="90" t="s">
        <v>21</v>
      </c>
      <c r="D219" s="24" t="s">
        <v>932</v>
      </c>
      <c r="E219" s="30" t="s">
        <v>933</v>
      </c>
      <c r="F219" s="31" t="s">
        <v>81</v>
      </c>
      <c r="G219" s="21" t="s">
        <v>72</v>
      </c>
      <c r="H219" s="38" t="s">
        <v>934</v>
      </c>
      <c r="I219" s="39">
        <v>44461</v>
      </c>
      <c r="J219" s="39">
        <v>44461</v>
      </c>
      <c r="K219" s="24" t="s">
        <v>35</v>
      </c>
      <c r="L219" s="26">
        <f>788.59/2</f>
        <v>394.29500000000002</v>
      </c>
      <c r="M219" s="87">
        <v>5</v>
      </c>
      <c r="N219" s="40">
        <v>59</v>
      </c>
      <c r="O219" s="25">
        <v>0</v>
      </c>
      <c r="P219" s="25">
        <v>0</v>
      </c>
      <c r="Q219" s="25">
        <v>59</v>
      </c>
      <c r="R219" s="25">
        <f t="shared" si="3"/>
        <v>59</v>
      </c>
      <c r="S219" s="24">
        <v>1</v>
      </c>
      <c r="T219" s="21" t="s">
        <v>935</v>
      </c>
    </row>
    <row r="220" spans="1:20" ht="23.25" customHeight="1" x14ac:dyDescent="0.25">
      <c r="A220" s="20" t="s">
        <v>936</v>
      </c>
      <c r="B220" s="22">
        <v>2021</v>
      </c>
      <c r="C220" s="90" t="s">
        <v>21</v>
      </c>
      <c r="D220" s="22" t="s">
        <v>847</v>
      </c>
      <c r="E220" s="27" t="s">
        <v>937</v>
      </c>
      <c r="F220" s="29" t="s">
        <v>23</v>
      </c>
      <c r="G220" s="20" t="s">
        <v>199</v>
      </c>
      <c r="H220" s="36" t="s">
        <v>938</v>
      </c>
      <c r="I220" s="37">
        <v>44463</v>
      </c>
      <c r="J220" s="37">
        <v>44463</v>
      </c>
      <c r="K220" s="22" t="s">
        <v>35</v>
      </c>
      <c r="L220" s="28">
        <v>0</v>
      </c>
      <c r="M220" s="86">
        <v>5</v>
      </c>
      <c r="N220" s="22">
        <v>70</v>
      </c>
      <c r="O220" s="23">
        <v>70</v>
      </c>
      <c r="P220" s="23">
        <v>0</v>
      </c>
      <c r="Q220" s="23">
        <v>0</v>
      </c>
      <c r="R220" s="23">
        <f t="shared" si="3"/>
        <v>70</v>
      </c>
      <c r="S220" s="22">
        <v>2</v>
      </c>
      <c r="T220" s="20" t="s">
        <v>850</v>
      </c>
    </row>
    <row r="221" spans="1:20" ht="23.25" customHeight="1" x14ac:dyDescent="0.25">
      <c r="A221" s="21" t="s">
        <v>939</v>
      </c>
      <c r="B221" s="24">
        <v>2021</v>
      </c>
      <c r="C221" s="90" t="s">
        <v>21</v>
      </c>
      <c r="D221" s="24" t="s">
        <v>932</v>
      </c>
      <c r="E221" s="30" t="s">
        <v>940</v>
      </c>
      <c r="F221" s="31" t="s">
        <v>81</v>
      </c>
      <c r="G221" s="21" t="s">
        <v>72</v>
      </c>
      <c r="H221" s="38" t="s">
        <v>941</v>
      </c>
      <c r="I221" s="39">
        <v>44473</v>
      </c>
      <c r="J221" s="39">
        <v>44473</v>
      </c>
      <c r="K221" s="24" t="s">
        <v>35</v>
      </c>
      <c r="L221" s="26">
        <v>394.29</v>
      </c>
      <c r="M221" s="87">
        <v>5</v>
      </c>
      <c r="N221" s="40">
        <v>30</v>
      </c>
      <c r="O221" s="25">
        <v>0</v>
      </c>
      <c r="P221" s="25">
        <v>0</v>
      </c>
      <c r="Q221" s="25">
        <v>30</v>
      </c>
      <c r="R221" s="25">
        <f t="shared" si="3"/>
        <v>30</v>
      </c>
      <c r="S221" s="24">
        <v>1</v>
      </c>
      <c r="T221" s="21" t="s">
        <v>935</v>
      </c>
    </row>
    <row r="222" spans="1:20" ht="23.25" customHeight="1" x14ac:dyDescent="0.25">
      <c r="A222" s="20" t="s">
        <v>942</v>
      </c>
      <c r="B222" s="22">
        <v>2021</v>
      </c>
      <c r="C222" s="90" t="s">
        <v>21</v>
      </c>
      <c r="D222" s="22" t="s">
        <v>943</v>
      </c>
      <c r="E222" s="27" t="s">
        <v>944</v>
      </c>
      <c r="F222" s="29" t="s">
        <v>23</v>
      </c>
      <c r="G222" s="20" t="s">
        <v>38</v>
      </c>
      <c r="H222" s="36" t="s">
        <v>945</v>
      </c>
      <c r="I222" s="37">
        <v>44483</v>
      </c>
      <c r="J222" s="37">
        <v>44483</v>
      </c>
      <c r="K222" s="22" t="s">
        <v>26</v>
      </c>
      <c r="L222" s="28">
        <v>0</v>
      </c>
      <c r="M222" s="86">
        <v>5</v>
      </c>
      <c r="N222" s="41">
        <v>14</v>
      </c>
      <c r="O222" s="23">
        <v>14</v>
      </c>
      <c r="P222" s="23">
        <v>0</v>
      </c>
      <c r="Q222" s="23">
        <v>0</v>
      </c>
      <c r="R222" s="23">
        <f t="shared" si="3"/>
        <v>14</v>
      </c>
      <c r="S222" s="22">
        <v>2</v>
      </c>
      <c r="T222" s="20" t="s">
        <v>946</v>
      </c>
    </row>
    <row r="223" spans="1:20" ht="23.25" customHeight="1" x14ac:dyDescent="0.25">
      <c r="A223" s="21" t="s">
        <v>947</v>
      </c>
      <c r="B223" s="24">
        <v>2021</v>
      </c>
      <c r="C223" s="90" t="s">
        <v>21</v>
      </c>
      <c r="D223" s="24" t="s">
        <v>948</v>
      </c>
      <c r="E223" s="30" t="s">
        <v>949</v>
      </c>
      <c r="F223" s="31" t="s">
        <v>225</v>
      </c>
      <c r="G223" s="21" t="s">
        <v>72</v>
      </c>
      <c r="H223" s="38" t="s">
        <v>950</v>
      </c>
      <c r="I223" s="39">
        <v>44487</v>
      </c>
      <c r="J223" s="39">
        <v>44491</v>
      </c>
      <c r="K223" s="24" t="s">
        <v>35</v>
      </c>
      <c r="L223" s="26">
        <v>10000</v>
      </c>
      <c r="M223" s="87">
        <v>4.5</v>
      </c>
      <c r="N223" s="40">
        <v>20</v>
      </c>
      <c r="O223" s="25">
        <v>4</v>
      </c>
      <c r="P223" s="25">
        <v>24</v>
      </c>
      <c r="Q223" s="25">
        <v>1</v>
      </c>
      <c r="R223" s="25">
        <f t="shared" si="3"/>
        <v>29</v>
      </c>
      <c r="S223" s="24">
        <v>12</v>
      </c>
      <c r="T223" s="21" t="s">
        <v>951</v>
      </c>
    </row>
    <row r="224" spans="1:20" ht="23.25" customHeight="1" x14ac:dyDescent="0.25">
      <c r="A224" s="20" t="s">
        <v>952</v>
      </c>
      <c r="B224" s="22">
        <v>2021</v>
      </c>
      <c r="C224" s="90" t="s">
        <v>21</v>
      </c>
      <c r="D224" s="22" t="s">
        <v>953</v>
      </c>
      <c r="E224" s="27" t="s">
        <v>954</v>
      </c>
      <c r="F224" s="29" t="s">
        <v>23</v>
      </c>
      <c r="G224" s="20" t="s">
        <v>199</v>
      </c>
      <c r="H224" s="36" t="s">
        <v>955</v>
      </c>
      <c r="I224" s="37">
        <v>44491</v>
      </c>
      <c r="J224" s="37">
        <v>44491</v>
      </c>
      <c r="K224" s="22" t="s">
        <v>26</v>
      </c>
      <c r="L224" s="28">
        <v>0</v>
      </c>
      <c r="M224" s="86">
        <v>5</v>
      </c>
      <c r="N224" s="41">
        <v>37</v>
      </c>
      <c r="O224" s="23">
        <v>37</v>
      </c>
      <c r="P224" s="23">
        <v>0</v>
      </c>
      <c r="Q224" s="23">
        <v>0</v>
      </c>
      <c r="R224" s="23">
        <f t="shared" si="3"/>
        <v>37</v>
      </c>
      <c r="S224" s="22">
        <v>2</v>
      </c>
      <c r="T224" s="20" t="s">
        <v>956</v>
      </c>
    </row>
    <row r="225" spans="1:20" ht="23.25" customHeight="1" x14ac:dyDescent="0.25">
      <c r="A225" s="21" t="s">
        <v>957</v>
      </c>
      <c r="B225" s="24">
        <v>2021</v>
      </c>
      <c r="C225" s="90" t="s">
        <v>21</v>
      </c>
      <c r="D225" s="24" t="s">
        <v>958</v>
      </c>
      <c r="E225" s="30" t="s">
        <v>959</v>
      </c>
      <c r="F225" s="31" t="s">
        <v>62</v>
      </c>
      <c r="G225" s="21" t="s">
        <v>72</v>
      </c>
      <c r="H225" s="38" t="s">
        <v>960</v>
      </c>
      <c r="I225" s="39">
        <v>44503</v>
      </c>
      <c r="J225" s="39">
        <v>44512</v>
      </c>
      <c r="K225" s="24" t="s">
        <v>35</v>
      </c>
      <c r="L225" s="26">
        <v>8539.24</v>
      </c>
      <c r="M225" s="87">
        <v>4</v>
      </c>
      <c r="N225" s="40">
        <v>20</v>
      </c>
      <c r="O225" s="25">
        <v>0</v>
      </c>
      <c r="P225" s="25">
        <v>24</v>
      </c>
      <c r="Q225" s="25">
        <v>0</v>
      </c>
      <c r="R225" s="25">
        <f t="shared" si="3"/>
        <v>24</v>
      </c>
      <c r="S225" s="24">
        <v>24</v>
      </c>
      <c r="T225" s="21" t="s">
        <v>961</v>
      </c>
    </row>
    <row r="226" spans="1:20" ht="23.25" customHeight="1" x14ac:dyDescent="0.25">
      <c r="A226" s="20" t="s">
        <v>962</v>
      </c>
      <c r="B226" s="22">
        <v>2021</v>
      </c>
      <c r="C226" s="90" t="s">
        <v>21</v>
      </c>
      <c r="D226" s="22" t="s">
        <v>963</v>
      </c>
      <c r="E226" s="27" t="s">
        <v>964</v>
      </c>
      <c r="F226" s="29" t="s">
        <v>23</v>
      </c>
      <c r="G226" s="20" t="s">
        <v>457</v>
      </c>
      <c r="H226" s="36" t="s">
        <v>965</v>
      </c>
      <c r="I226" s="37">
        <v>44505</v>
      </c>
      <c r="J226" s="37">
        <v>44505</v>
      </c>
      <c r="K226" s="22" t="s">
        <v>26</v>
      </c>
      <c r="L226" s="28">
        <v>0</v>
      </c>
      <c r="M226" s="86">
        <v>5</v>
      </c>
      <c r="N226" s="41">
        <v>32</v>
      </c>
      <c r="O226" s="23">
        <v>32</v>
      </c>
      <c r="P226" s="23">
        <v>0</v>
      </c>
      <c r="Q226" s="23">
        <v>0</v>
      </c>
      <c r="R226" s="23">
        <f t="shared" si="3"/>
        <v>32</v>
      </c>
      <c r="S226" s="22">
        <v>1.5</v>
      </c>
      <c r="T226" s="20" t="s">
        <v>966</v>
      </c>
    </row>
    <row r="227" spans="1:20" ht="23.25" customHeight="1" x14ac:dyDescent="0.25">
      <c r="A227" s="21" t="s">
        <v>967</v>
      </c>
      <c r="B227" s="24">
        <v>2021</v>
      </c>
      <c r="C227" s="90" t="s">
        <v>21</v>
      </c>
      <c r="D227" s="24" t="s">
        <v>943</v>
      </c>
      <c r="E227" s="30" t="s">
        <v>968</v>
      </c>
      <c r="F227" s="31" t="s">
        <v>23</v>
      </c>
      <c r="G227" s="21" t="s">
        <v>38</v>
      </c>
      <c r="H227" s="38" t="s">
        <v>969</v>
      </c>
      <c r="I227" s="39">
        <v>44508</v>
      </c>
      <c r="J227" s="39">
        <v>44508</v>
      </c>
      <c r="K227" s="24" t="s">
        <v>26</v>
      </c>
      <c r="L227" s="26">
        <v>0</v>
      </c>
      <c r="M227" s="87">
        <v>5</v>
      </c>
      <c r="N227" s="40">
        <v>14</v>
      </c>
      <c r="O227" s="25">
        <v>14</v>
      </c>
      <c r="P227" s="25">
        <v>0</v>
      </c>
      <c r="Q227" s="25">
        <v>0</v>
      </c>
      <c r="R227" s="25">
        <f t="shared" si="3"/>
        <v>14</v>
      </c>
      <c r="S227" s="24">
        <v>1</v>
      </c>
      <c r="T227" s="21" t="s">
        <v>970</v>
      </c>
    </row>
    <row r="228" spans="1:20" ht="23.25" customHeight="1" x14ac:dyDescent="0.25">
      <c r="A228" s="20" t="s">
        <v>971</v>
      </c>
      <c r="B228" s="22">
        <v>2021</v>
      </c>
      <c r="C228" s="90" t="s">
        <v>21</v>
      </c>
      <c r="D228" s="22" t="s">
        <v>963</v>
      </c>
      <c r="E228" s="27" t="s">
        <v>972</v>
      </c>
      <c r="F228" s="29" t="s">
        <v>23</v>
      </c>
      <c r="G228" s="20" t="s">
        <v>457</v>
      </c>
      <c r="H228" s="36" t="s">
        <v>973</v>
      </c>
      <c r="I228" s="37">
        <v>44516</v>
      </c>
      <c r="J228" s="37">
        <v>44525</v>
      </c>
      <c r="K228" s="22" t="s">
        <v>26</v>
      </c>
      <c r="L228" s="28">
        <v>9000</v>
      </c>
      <c r="M228" s="86">
        <v>4.2</v>
      </c>
      <c r="N228" s="41">
        <v>30</v>
      </c>
      <c r="O228" s="23">
        <v>31</v>
      </c>
      <c r="P228" s="23">
        <v>0</v>
      </c>
      <c r="Q228" s="23">
        <v>0</v>
      </c>
      <c r="R228" s="23">
        <f t="shared" si="3"/>
        <v>31</v>
      </c>
      <c r="S228" s="22">
        <v>10</v>
      </c>
      <c r="T228" s="20" t="s">
        <v>966</v>
      </c>
    </row>
    <row r="229" spans="1:20" ht="23.25" customHeight="1" x14ac:dyDescent="0.25">
      <c r="A229" s="21" t="s">
        <v>974</v>
      </c>
      <c r="B229" s="24">
        <v>2021</v>
      </c>
      <c r="C229" s="90" t="s">
        <v>21</v>
      </c>
      <c r="D229" s="24" t="s">
        <v>975</v>
      </c>
      <c r="E229" s="30" t="s">
        <v>976</v>
      </c>
      <c r="F229" s="31" t="s">
        <v>62</v>
      </c>
      <c r="G229" s="21" t="s">
        <v>72</v>
      </c>
      <c r="H229" s="38" t="s">
        <v>977</v>
      </c>
      <c r="I229" s="39">
        <v>44518</v>
      </c>
      <c r="J229" s="39">
        <v>44518</v>
      </c>
      <c r="K229" s="24" t="s">
        <v>35</v>
      </c>
      <c r="L229" s="26">
        <v>1794.9</v>
      </c>
      <c r="M229" s="87">
        <v>4.5</v>
      </c>
      <c r="N229" s="40">
        <v>30</v>
      </c>
      <c r="O229" s="25">
        <v>4</v>
      </c>
      <c r="P229" s="25">
        <v>26</v>
      </c>
      <c r="Q229" s="25">
        <v>0</v>
      </c>
      <c r="R229" s="25">
        <f t="shared" si="3"/>
        <v>30</v>
      </c>
      <c r="S229" s="24">
        <v>4</v>
      </c>
      <c r="T229" s="21" t="s">
        <v>549</v>
      </c>
    </row>
    <row r="230" spans="1:20" ht="23.25" customHeight="1" x14ac:dyDescent="0.25">
      <c r="A230" s="20" t="s">
        <v>978</v>
      </c>
      <c r="B230" s="22">
        <v>2021</v>
      </c>
      <c r="C230" s="90" t="s">
        <v>21</v>
      </c>
      <c r="D230" s="22" t="s">
        <v>896</v>
      </c>
      <c r="E230" s="27" t="s">
        <v>979</v>
      </c>
      <c r="F230" s="29" t="s">
        <v>62</v>
      </c>
      <c r="G230" s="20" t="s">
        <v>72</v>
      </c>
      <c r="H230" s="36" t="s">
        <v>980</v>
      </c>
      <c r="I230" s="37">
        <v>44522</v>
      </c>
      <c r="J230" s="37">
        <v>44525</v>
      </c>
      <c r="K230" s="22" t="s">
        <v>35</v>
      </c>
      <c r="L230" s="28">
        <v>9210.7800000000007</v>
      </c>
      <c r="M230" s="86">
        <v>4.4800000000000004</v>
      </c>
      <c r="N230" s="41">
        <v>40</v>
      </c>
      <c r="O230" s="23">
        <v>2</v>
      </c>
      <c r="P230" s="23">
        <v>45</v>
      </c>
      <c r="Q230" s="23">
        <v>5</v>
      </c>
      <c r="R230" s="23">
        <f t="shared" si="3"/>
        <v>52</v>
      </c>
      <c r="S230" s="22">
        <v>16</v>
      </c>
      <c r="T230" s="20" t="s">
        <v>414</v>
      </c>
    </row>
    <row r="231" spans="1:20" ht="23.25" customHeight="1" x14ac:dyDescent="0.25">
      <c r="A231" s="21" t="s">
        <v>981</v>
      </c>
      <c r="B231" s="24">
        <v>2021</v>
      </c>
      <c r="C231" s="90" t="s">
        <v>21</v>
      </c>
      <c r="D231" s="24" t="s">
        <v>847</v>
      </c>
      <c r="E231" s="30" t="s">
        <v>982</v>
      </c>
      <c r="F231" s="31" t="s">
        <v>23</v>
      </c>
      <c r="G231" s="21" t="s">
        <v>199</v>
      </c>
      <c r="H231" s="38" t="s">
        <v>983</v>
      </c>
      <c r="I231" s="39">
        <v>44540</v>
      </c>
      <c r="J231" s="39">
        <v>44540</v>
      </c>
      <c r="K231" s="24" t="s">
        <v>35</v>
      </c>
      <c r="L231" s="26">
        <v>0</v>
      </c>
      <c r="M231" s="87">
        <v>5</v>
      </c>
      <c r="N231" s="40">
        <v>89</v>
      </c>
      <c r="O231" s="25">
        <v>89</v>
      </c>
      <c r="P231" s="25">
        <v>0</v>
      </c>
      <c r="Q231" s="25">
        <v>0</v>
      </c>
      <c r="R231" s="25">
        <f t="shared" si="3"/>
        <v>89</v>
      </c>
      <c r="S231" s="24">
        <v>2</v>
      </c>
      <c r="T231" s="21" t="s">
        <v>850</v>
      </c>
    </row>
    <row r="232" spans="1:20" ht="23.25" customHeight="1" x14ac:dyDescent="0.25">
      <c r="A232" s="20" t="s">
        <v>984</v>
      </c>
      <c r="B232" s="22">
        <v>2022</v>
      </c>
      <c r="C232" s="90" t="s">
        <v>21</v>
      </c>
      <c r="D232" s="22" t="s">
        <v>985</v>
      </c>
      <c r="E232" s="27" t="s">
        <v>986</v>
      </c>
      <c r="F232" s="29" t="s">
        <v>23</v>
      </c>
      <c r="G232" s="20" t="s">
        <v>38</v>
      </c>
      <c r="H232" s="36" t="s">
        <v>987</v>
      </c>
      <c r="I232" s="37">
        <v>44592</v>
      </c>
      <c r="J232" s="37">
        <v>44594</v>
      </c>
      <c r="K232" s="22" t="s">
        <v>26</v>
      </c>
      <c r="L232" s="28">
        <v>0</v>
      </c>
      <c r="M232" s="86">
        <v>4.9000000000000004</v>
      </c>
      <c r="N232" s="41">
        <v>15</v>
      </c>
      <c r="O232" s="23">
        <v>13</v>
      </c>
      <c r="P232" s="23">
        <v>0</v>
      </c>
      <c r="Q232" s="23">
        <v>0</v>
      </c>
      <c r="R232" s="23">
        <f t="shared" si="3"/>
        <v>13</v>
      </c>
      <c r="S232" s="22">
        <v>24</v>
      </c>
      <c r="T232" s="20" t="s">
        <v>988</v>
      </c>
    </row>
    <row r="233" spans="1:20" ht="23.25" customHeight="1" x14ac:dyDescent="0.25">
      <c r="A233" s="21" t="s">
        <v>989</v>
      </c>
      <c r="B233" s="24">
        <v>2022</v>
      </c>
      <c r="C233" s="90" t="s">
        <v>21</v>
      </c>
      <c r="D233" s="24" t="s">
        <v>990</v>
      </c>
      <c r="E233" s="30" t="s">
        <v>991</v>
      </c>
      <c r="F233" s="31" t="s">
        <v>23</v>
      </c>
      <c r="G233" s="21" t="s">
        <v>24</v>
      </c>
      <c r="H233" s="38" t="s">
        <v>992</v>
      </c>
      <c r="I233" s="39">
        <v>44600</v>
      </c>
      <c r="J233" s="39">
        <v>44600</v>
      </c>
      <c r="K233" s="24" t="s">
        <v>35</v>
      </c>
      <c r="L233" s="26">
        <v>500</v>
      </c>
      <c r="M233" s="87">
        <v>5</v>
      </c>
      <c r="N233" s="40">
        <v>38</v>
      </c>
      <c r="O233" s="25">
        <v>38</v>
      </c>
      <c r="P233" s="25">
        <v>0</v>
      </c>
      <c r="Q233" s="25">
        <v>0</v>
      </c>
      <c r="R233" s="25">
        <f t="shared" si="3"/>
        <v>38</v>
      </c>
      <c r="S233" s="24">
        <v>2</v>
      </c>
      <c r="T233" s="21" t="s">
        <v>584</v>
      </c>
    </row>
    <row r="234" spans="1:20" ht="23.25" customHeight="1" x14ac:dyDescent="0.25">
      <c r="A234" s="20" t="s">
        <v>993</v>
      </c>
      <c r="B234" s="22">
        <v>2022</v>
      </c>
      <c r="C234" s="90" t="s">
        <v>21</v>
      </c>
      <c r="D234" s="22" t="s">
        <v>994</v>
      </c>
      <c r="E234" s="27" t="s">
        <v>995</v>
      </c>
      <c r="F234" s="29" t="s">
        <v>23</v>
      </c>
      <c r="G234" s="20" t="s">
        <v>199</v>
      </c>
      <c r="H234" s="36" t="s">
        <v>996</v>
      </c>
      <c r="I234" s="37">
        <v>44609</v>
      </c>
      <c r="J234" s="37">
        <v>44609</v>
      </c>
      <c r="K234" s="22" t="s">
        <v>26</v>
      </c>
      <c r="L234" s="28">
        <v>0</v>
      </c>
      <c r="M234" s="86">
        <v>5</v>
      </c>
      <c r="N234" s="41">
        <v>44</v>
      </c>
      <c r="O234" s="23">
        <v>44</v>
      </c>
      <c r="P234" s="23">
        <v>0</v>
      </c>
      <c r="Q234" s="23">
        <v>0</v>
      </c>
      <c r="R234" s="23">
        <f t="shared" si="3"/>
        <v>44</v>
      </c>
      <c r="S234" s="22">
        <v>2</v>
      </c>
      <c r="T234" s="20" t="s">
        <v>997</v>
      </c>
    </row>
    <row r="235" spans="1:20" ht="23.25" customHeight="1" x14ac:dyDescent="0.25">
      <c r="A235" s="21" t="s">
        <v>998</v>
      </c>
      <c r="B235" s="24">
        <v>2022</v>
      </c>
      <c r="C235" s="90" t="s">
        <v>21</v>
      </c>
      <c r="D235" s="24" t="s">
        <v>999</v>
      </c>
      <c r="E235" s="30" t="s">
        <v>976</v>
      </c>
      <c r="F235" s="31" t="s">
        <v>62</v>
      </c>
      <c r="G235" s="21" t="s">
        <v>72</v>
      </c>
      <c r="H235" s="38" t="s">
        <v>1000</v>
      </c>
      <c r="I235" s="39">
        <v>44614</v>
      </c>
      <c r="J235" s="39">
        <v>44614</v>
      </c>
      <c r="K235" s="24" t="s">
        <v>35</v>
      </c>
      <c r="L235" s="26">
        <v>1794.9</v>
      </c>
      <c r="M235" s="87">
        <v>4.34</v>
      </c>
      <c r="N235" s="40">
        <v>30</v>
      </c>
      <c r="O235" s="25">
        <v>6</v>
      </c>
      <c r="P235" s="25">
        <v>15</v>
      </c>
      <c r="Q235" s="25">
        <v>0</v>
      </c>
      <c r="R235" s="25">
        <f t="shared" si="3"/>
        <v>21</v>
      </c>
      <c r="S235" s="24">
        <v>4</v>
      </c>
      <c r="T235" s="21" t="s">
        <v>549</v>
      </c>
    </row>
    <row r="236" spans="1:20" ht="23.25" customHeight="1" x14ac:dyDescent="0.25">
      <c r="A236" s="20" t="s">
        <v>1001</v>
      </c>
      <c r="B236" s="22">
        <v>2022</v>
      </c>
      <c r="C236" s="90" t="s">
        <v>21</v>
      </c>
      <c r="D236" s="22" t="s">
        <v>1002</v>
      </c>
      <c r="E236" s="27" t="s">
        <v>1003</v>
      </c>
      <c r="F236" s="29" t="s">
        <v>81</v>
      </c>
      <c r="G236" s="20" t="s">
        <v>72</v>
      </c>
      <c r="H236" s="36" t="s">
        <v>1004</v>
      </c>
      <c r="I236" s="37">
        <v>44615</v>
      </c>
      <c r="J236" s="37">
        <v>44615</v>
      </c>
      <c r="K236" s="22" t="s">
        <v>26</v>
      </c>
      <c r="L236" s="28">
        <v>0</v>
      </c>
      <c r="M236" s="86">
        <v>5</v>
      </c>
      <c r="N236" s="41">
        <v>45</v>
      </c>
      <c r="O236" s="23">
        <v>0</v>
      </c>
      <c r="P236" s="23">
        <v>45</v>
      </c>
      <c r="Q236" s="23">
        <v>0</v>
      </c>
      <c r="R236" s="23">
        <f t="shared" si="3"/>
        <v>45</v>
      </c>
      <c r="S236" s="22">
        <v>2</v>
      </c>
      <c r="T236" s="20" t="s">
        <v>1005</v>
      </c>
    </row>
    <row r="237" spans="1:20" ht="23.25" customHeight="1" x14ac:dyDescent="0.25">
      <c r="A237" s="21" t="s">
        <v>1006</v>
      </c>
      <c r="B237" s="24">
        <v>2022</v>
      </c>
      <c r="C237" s="90" t="s">
        <v>21</v>
      </c>
      <c r="D237" s="24" t="s">
        <v>847</v>
      </c>
      <c r="E237" s="30" t="s">
        <v>1007</v>
      </c>
      <c r="F237" s="31" t="s">
        <v>23</v>
      </c>
      <c r="G237" s="21" t="s">
        <v>199</v>
      </c>
      <c r="H237" s="38" t="s">
        <v>1008</v>
      </c>
      <c r="I237" s="39">
        <v>44631</v>
      </c>
      <c r="J237" s="39">
        <v>44631</v>
      </c>
      <c r="K237" s="24" t="s">
        <v>35</v>
      </c>
      <c r="L237" s="26">
        <v>0</v>
      </c>
      <c r="M237" s="87">
        <v>5</v>
      </c>
      <c r="N237" s="24">
        <v>70</v>
      </c>
      <c r="O237" s="25">
        <v>70</v>
      </c>
      <c r="P237" s="25">
        <v>0</v>
      </c>
      <c r="Q237" s="25">
        <v>0</v>
      </c>
      <c r="R237" s="25">
        <f t="shared" si="3"/>
        <v>70</v>
      </c>
      <c r="S237" s="24">
        <v>2</v>
      </c>
      <c r="T237" s="21" t="s">
        <v>710</v>
      </c>
    </row>
    <row r="238" spans="1:20" ht="23.25" customHeight="1" x14ac:dyDescent="0.25">
      <c r="A238" s="20" t="s">
        <v>1009</v>
      </c>
      <c r="B238" s="22">
        <v>2022</v>
      </c>
      <c r="C238" s="90" t="s">
        <v>21</v>
      </c>
      <c r="D238" s="22" t="s">
        <v>1010</v>
      </c>
      <c r="E238" s="27" t="s">
        <v>1011</v>
      </c>
      <c r="F238" s="29" t="s">
        <v>23</v>
      </c>
      <c r="G238" s="20" t="s">
        <v>38</v>
      </c>
      <c r="H238" s="36" t="s">
        <v>1012</v>
      </c>
      <c r="I238" s="37">
        <v>44633</v>
      </c>
      <c r="J238" s="37">
        <v>44645</v>
      </c>
      <c r="K238" s="22" t="s">
        <v>26</v>
      </c>
      <c r="L238" s="28">
        <v>10500</v>
      </c>
      <c r="M238" s="86">
        <v>4.3</v>
      </c>
      <c r="N238" s="41">
        <v>15</v>
      </c>
      <c r="O238" s="23">
        <v>15</v>
      </c>
      <c r="P238" s="23">
        <v>0</v>
      </c>
      <c r="Q238" s="23">
        <v>0</v>
      </c>
      <c r="R238" s="23">
        <f t="shared" si="3"/>
        <v>15</v>
      </c>
      <c r="S238" s="22">
        <v>20</v>
      </c>
      <c r="T238" s="20" t="s">
        <v>1013</v>
      </c>
    </row>
    <row r="239" spans="1:20" ht="23.25" customHeight="1" x14ac:dyDescent="0.25">
      <c r="A239" s="21" t="s">
        <v>1014</v>
      </c>
      <c r="B239" s="24">
        <v>2022</v>
      </c>
      <c r="C239" s="90" t="s">
        <v>21</v>
      </c>
      <c r="D239" s="24" t="s">
        <v>1015</v>
      </c>
      <c r="E239" s="30" t="s">
        <v>1016</v>
      </c>
      <c r="F239" s="31" t="s">
        <v>81</v>
      </c>
      <c r="G239" s="21" t="s">
        <v>72</v>
      </c>
      <c r="H239" s="38" t="s">
        <v>1017</v>
      </c>
      <c r="I239" s="39">
        <v>44642</v>
      </c>
      <c r="J239" s="39">
        <v>44642</v>
      </c>
      <c r="K239" s="24" t="s">
        <v>26</v>
      </c>
      <c r="L239" s="26">
        <v>0</v>
      </c>
      <c r="M239" s="87">
        <v>5</v>
      </c>
      <c r="N239" s="24">
        <v>51</v>
      </c>
      <c r="O239" s="25">
        <v>0</v>
      </c>
      <c r="P239" s="25">
        <v>0</v>
      </c>
      <c r="Q239" s="25">
        <v>51</v>
      </c>
      <c r="R239" s="25">
        <f t="shared" si="3"/>
        <v>51</v>
      </c>
      <c r="S239" s="24">
        <v>2</v>
      </c>
      <c r="T239" s="21" t="s">
        <v>1018</v>
      </c>
    </row>
    <row r="240" spans="1:20" ht="23.25" customHeight="1" x14ac:dyDescent="0.25">
      <c r="A240" s="20" t="s">
        <v>1019</v>
      </c>
      <c r="B240" s="22">
        <v>2022</v>
      </c>
      <c r="C240" s="90" t="s">
        <v>21</v>
      </c>
      <c r="D240" s="22" t="s">
        <v>1020</v>
      </c>
      <c r="E240" s="27" t="s">
        <v>1021</v>
      </c>
      <c r="F240" s="29" t="s">
        <v>81</v>
      </c>
      <c r="G240" s="20" t="s">
        <v>72</v>
      </c>
      <c r="H240" s="36" t="s">
        <v>1022</v>
      </c>
      <c r="I240" s="37">
        <v>44655</v>
      </c>
      <c r="J240" s="37">
        <v>44655</v>
      </c>
      <c r="K240" s="22" t="s">
        <v>35</v>
      </c>
      <c r="L240" s="28">
        <f>1172.25/2</f>
        <v>586.125</v>
      </c>
      <c r="M240" s="86">
        <v>4.9000000000000004</v>
      </c>
      <c r="N240" s="22">
        <v>31</v>
      </c>
      <c r="O240" s="23">
        <v>0</v>
      </c>
      <c r="P240" s="23">
        <v>0</v>
      </c>
      <c r="Q240" s="23">
        <v>31</v>
      </c>
      <c r="R240" s="23">
        <f t="shared" si="3"/>
        <v>31</v>
      </c>
      <c r="S240" s="22">
        <v>1</v>
      </c>
      <c r="T240" s="20" t="s">
        <v>1023</v>
      </c>
    </row>
    <row r="241" spans="1:20" ht="23.25" customHeight="1" x14ac:dyDescent="0.25">
      <c r="A241" s="21" t="s">
        <v>1024</v>
      </c>
      <c r="B241" s="24">
        <v>2022</v>
      </c>
      <c r="C241" s="90" t="s">
        <v>21</v>
      </c>
      <c r="D241" s="24" t="s">
        <v>1025</v>
      </c>
      <c r="E241" s="30" t="s">
        <v>1026</v>
      </c>
      <c r="F241" s="31" t="s">
        <v>23</v>
      </c>
      <c r="G241" s="21" t="s">
        <v>38</v>
      </c>
      <c r="H241" s="38" t="s">
        <v>1027</v>
      </c>
      <c r="I241" s="39">
        <v>44655</v>
      </c>
      <c r="J241" s="39">
        <v>44664</v>
      </c>
      <c r="K241" s="24" t="s">
        <v>26</v>
      </c>
      <c r="L241" s="26">
        <v>39460</v>
      </c>
      <c r="M241" s="87">
        <v>4.4000000000000004</v>
      </c>
      <c r="N241" s="40">
        <v>150</v>
      </c>
      <c r="O241" s="25">
        <v>40</v>
      </c>
      <c r="P241" s="25">
        <v>100</v>
      </c>
      <c r="Q241" s="25">
        <v>0</v>
      </c>
      <c r="R241" s="25">
        <f t="shared" si="3"/>
        <v>140</v>
      </c>
      <c r="S241" s="24">
        <v>20</v>
      </c>
      <c r="T241" s="21" t="s">
        <v>1028</v>
      </c>
    </row>
    <row r="242" spans="1:20" ht="23.25" customHeight="1" x14ac:dyDescent="0.25">
      <c r="A242" s="20" t="s">
        <v>1029</v>
      </c>
      <c r="B242" s="22">
        <v>2022</v>
      </c>
      <c r="C242" s="90" t="s">
        <v>21</v>
      </c>
      <c r="D242" s="22" t="s">
        <v>1030</v>
      </c>
      <c r="E242" s="27" t="s">
        <v>1031</v>
      </c>
      <c r="F242" s="29" t="s">
        <v>23</v>
      </c>
      <c r="G242" s="20" t="s">
        <v>199</v>
      </c>
      <c r="H242" s="36" t="s">
        <v>1032</v>
      </c>
      <c r="I242" s="37">
        <v>44676</v>
      </c>
      <c r="J242" s="37">
        <v>44686</v>
      </c>
      <c r="K242" s="22" t="s">
        <v>26</v>
      </c>
      <c r="L242" s="28">
        <v>8400</v>
      </c>
      <c r="M242" s="86">
        <v>5</v>
      </c>
      <c r="N242" s="41">
        <v>30</v>
      </c>
      <c r="O242" s="23">
        <v>15</v>
      </c>
      <c r="P242" s="23">
        <v>0</v>
      </c>
      <c r="Q242" s="23">
        <v>0</v>
      </c>
      <c r="R242" s="23">
        <f t="shared" si="3"/>
        <v>15</v>
      </c>
      <c r="S242" s="22">
        <v>21</v>
      </c>
      <c r="T242" s="20" t="s">
        <v>828</v>
      </c>
    </row>
    <row r="243" spans="1:20" ht="23.25" customHeight="1" x14ac:dyDescent="0.25">
      <c r="A243" s="21" t="s">
        <v>1033</v>
      </c>
      <c r="B243" s="24">
        <v>2022</v>
      </c>
      <c r="C243" s="90" t="s">
        <v>21</v>
      </c>
      <c r="D243" s="24" t="s">
        <v>1034</v>
      </c>
      <c r="E243" s="30" t="s">
        <v>1035</v>
      </c>
      <c r="F243" s="31" t="s">
        <v>23</v>
      </c>
      <c r="G243" s="21" t="s">
        <v>199</v>
      </c>
      <c r="H243" s="38" t="s">
        <v>1036</v>
      </c>
      <c r="I243" s="39">
        <v>44691</v>
      </c>
      <c r="J243" s="39">
        <v>44700</v>
      </c>
      <c r="K243" s="24" t="s">
        <v>26</v>
      </c>
      <c r="L243" s="26">
        <v>10000</v>
      </c>
      <c r="M243" s="87">
        <v>4.4000000000000004</v>
      </c>
      <c r="N243" s="40">
        <v>50</v>
      </c>
      <c r="O243" s="25">
        <v>18</v>
      </c>
      <c r="P243" s="25">
        <v>0</v>
      </c>
      <c r="Q243" s="25">
        <v>0</v>
      </c>
      <c r="R243" s="25">
        <f t="shared" si="3"/>
        <v>18</v>
      </c>
      <c r="S243" s="24">
        <v>12</v>
      </c>
      <c r="T243" s="21" t="s">
        <v>930</v>
      </c>
    </row>
    <row r="244" spans="1:20" ht="23.25" customHeight="1" x14ac:dyDescent="0.25">
      <c r="A244" s="20" t="s">
        <v>1037</v>
      </c>
      <c r="B244" s="22">
        <v>2022</v>
      </c>
      <c r="C244" s="90" t="s">
        <v>21</v>
      </c>
      <c r="D244" s="22" t="s">
        <v>847</v>
      </c>
      <c r="E244" s="27" t="s">
        <v>1007</v>
      </c>
      <c r="F244" s="29" t="s">
        <v>23</v>
      </c>
      <c r="G244" s="20" t="s">
        <v>199</v>
      </c>
      <c r="H244" s="36" t="s">
        <v>1038</v>
      </c>
      <c r="I244" s="37">
        <v>44694</v>
      </c>
      <c r="J244" s="37">
        <v>44694</v>
      </c>
      <c r="K244" s="22" t="s">
        <v>35</v>
      </c>
      <c r="L244" s="28">
        <v>0</v>
      </c>
      <c r="M244" s="86">
        <v>5</v>
      </c>
      <c r="N244" s="22">
        <v>55</v>
      </c>
      <c r="O244" s="23">
        <v>55</v>
      </c>
      <c r="P244" s="23">
        <v>0</v>
      </c>
      <c r="Q244" s="23">
        <v>0</v>
      </c>
      <c r="R244" s="23">
        <f t="shared" si="3"/>
        <v>55</v>
      </c>
      <c r="S244" s="22">
        <v>2</v>
      </c>
      <c r="T244" s="20" t="s">
        <v>710</v>
      </c>
    </row>
    <row r="245" spans="1:20" ht="23.25" customHeight="1" x14ac:dyDescent="0.25">
      <c r="A245" s="21" t="s">
        <v>1039</v>
      </c>
      <c r="B245" s="24">
        <v>2022</v>
      </c>
      <c r="C245" s="90" t="s">
        <v>21</v>
      </c>
      <c r="D245" s="24" t="s">
        <v>1020</v>
      </c>
      <c r="E245" s="30" t="s">
        <v>1040</v>
      </c>
      <c r="F245" s="31" t="s">
        <v>81</v>
      </c>
      <c r="G245" s="21" t="s">
        <v>72</v>
      </c>
      <c r="H245" s="38" t="s">
        <v>1041</v>
      </c>
      <c r="I245" s="39">
        <v>44697</v>
      </c>
      <c r="J245" s="39">
        <v>44697</v>
      </c>
      <c r="K245" s="24" t="s">
        <v>35</v>
      </c>
      <c r="L245" s="26">
        <v>586.13</v>
      </c>
      <c r="M245" s="87">
        <v>5</v>
      </c>
      <c r="N245" s="40">
        <v>120</v>
      </c>
      <c r="O245" s="25">
        <v>0</v>
      </c>
      <c r="P245" s="25">
        <v>0</v>
      </c>
      <c r="Q245" s="25">
        <v>120</v>
      </c>
      <c r="R245" s="25">
        <f t="shared" si="3"/>
        <v>120</v>
      </c>
      <c r="S245" s="24">
        <v>1</v>
      </c>
      <c r="T245" s="21" t="s">
        <v>1042</v>
      </c>
    </row>
    <row r="246" spans="1:20" ht="23.25" customHeight="1" x14ac:dyDescent="0.25">
      <c r="A246" s="20" t="s">
        <v>1043</v>
      </c>
      <c r="B246" s="22">
        <v>2022</v>
      </c>
      <c r="C246" s="90" t="s">
        <v>21</v>
      </c>
      <c r="D246" s="22" t="s">
        <v>1044</v>
      </c>
      <c r="E246" s="27" t="s">
        <v>959</v>
      </c>
      <c r="F246" s="29" t="s">
        <v>81</v>
      </c>
      <c r="G246" s="20" t="s">
        <v>72</v>
      </c>
      <c r="H246" s="36" t="s">
        <v>1045</v>
      </c>
      <c r="I246" s="37">
        <v>44697</v>
      </c>
      <c r="J246" s="37">
        <v>44713</v>
      </c>
      <c r="K246" s="22" t="s">
        <v>35</v>
      </c>
      <c r="L246" s="28">
        <v>10976.07</v>
      </c>
      <c r="M246" s="86">
        <v>4.5999999999999996</v>
      </c>
      <c r="N246" s="41">
        <v>34</v>
      </c>
      <c r="O246" s="23">
        <v>12</v>
      </c>
      <c r="P246" s="23">
        <v>0</v>
      </c>
      <c r="Q246" s="23">
        <v>22</v>
      </c>
      <c r="R246" s="23">
        <f t="shared" si="3"/>
        <v>34</v>
      </c>
      <c r="S246" s="22">
        <v>24</v>
      </c>
      <c r="T246" s="20" t="s">
        <v>1046</v>
      </c>
    </row>
    <row r="247" spans="1:20" ht="23.25" customHeight="1" x14ac:dyDescent="0.25">
      <c r="A247" s="21" t="s">
        <v>1047</v>
      </c>
      <c r="B247" s="24">
        <v>2022</v>
      </c>
      <c r="C247" s="90" t="s">
        <v>21</v>
      </c>
      <c r="D247" s="24" t="s">
        <v>1048</v>
      </c>
      <c r="E247" s="30" t="s">
        <v>1049</v>
      </c>
      <c r="F247" s="31" t="s">
        <v>62</v>
      </c>
      <c r="G247" s="21" t="s">
        <v>72</v>
      </c>
      <c r="H247" s="38" t="s">
        <v>1050</v>
      </c>
      <c r="I247" s="39">
        <v>44698</v>
      </c>
      <c r="J247" s="39">
        <v>44698</v>
      </c>
      <c r="K247" s="24" t="s">
        <v>35</v>
      </c>
      <c r="L247" s="26">
        <v>1794.9</v>
      </c>
      <c r="M247" s="87">
        <v>4.5</v>
      </c>
      <c r="N247" s="40">
        <v>30</v>
      </c>
      <c r="O247" s="25">
        <v>0</v>
      </c>
      <c r="P247" s="25">
        <v>37</v>
      </c>
      <c r="Q247" s="25">
        <v>0</v>
      </c>
      <c r="R247" s="25">
        <f t="shared" si="3"/>
        <v>37</v>
      </c>
      <c r="S247" s="24">
        <v>4</v>
      </c>
      <c r="T247" s="21" t="s">
        <v>549</v>
      </c>
    </row>
    <row r="248" spans="1:20" ht="23.25" customHeight="1" x14ac:dyDescent="0.25">
      <c r="A248" s="20" t="s">
        <v>1051</v>
      </c>
      <c r="B248" s="22">
        <v>2022</v>
      </c>
      <c r="C248" s="90" t="s">
        <v>21</v>
      </c>
      <c r="D248" s="22" t="s">
        <v>1052</v>
      </c>
      <c r="E248" s="27" t="s">
        <v>1053</v>
      </c>
      <c r="F248" s="29" t="s">
        <v>62</v>
      </c>
      <c r="G248" s="20" t="s">
        <v>72</v>
      </c>
      <c r="H248" s="36" t="s">
        <v>1054</v>
      </c>
      <c r="I248" s="37">
        <v>44700</v>
      </c>
      <c r="J248" s="37">
        <v>44700</v>
      </c>
      <c r="K248" s="22" t="s">
        <v>35</v>
      </c>
      <c r="L248" s="28">
        <v>0</v>
      </c>
      <c r="M248" s="86">
        <v>5</v>
      </c>
      <c r="N248" s="41">
        <v>6</v>
      </c>
      <c r="O248" s="23">
        <v>0</v>
      </c>
      <c r="P248" s="23">
        <v>6</v>
      </c>
      <c r="Q248" s="23">
        <v>0</v>
      </c>
      <c r="R248" s="23">
        <f t="shared" si="3"/>
        <v>6</v>
      </c>
      <c r="S248" s="22">
        <v>2</v>
      </c>
      <c r="T248" s="20" t="s">
        <v>1055</v>
      </c>
    </row>
    <row r="249" spans="1:20" ht="23.25" customHeight="1" x14ac:dyDescent="0.25">
      <c r="A249" s="21" t="s">
        <v>1056</v>
      </c>
      <c r="B249" s="24">
        <v>2022</v>
      </c>
      <c r="C249" s="90" t="s">
        <v>21</v>
      </c>
      <c r="D249" s="24" t="s">
        <v>1057</v>
      </c>
      <c r="E249" s="30" t="s">
        <v>1058</v>
      </c>
      <c r="F249" s="31" t="s">
        <v>23</v>
      </c>
      <c r="G249" s="21" t="s">
        <v>199</v>
      </c>
      <c r="H249" s="38" t="s">
        <v>1059</v>
      </c>
      <c r="I249" s="39">
        <v>44707</v>
      </c>
      <c r="J249" s="39">
        <v>44721</v>
      </c>
      <c r="K249" s="24" t="s">
        <v>26</v>
      </c>
      <c r="L249" s="26">
        <v>6200</v>
      </c>
      <c r="M249" s="87">
        <v>4.5999999999999996</v>
      </c>
      <c r="N249" s="40">
        <v>30</v>
      </c>
      <c r="O249" s="25">
        <v>25</v>
      </c>
      <c r="P249" s="25">
        <v>0</v>
      </c>
      <c r="Q249" s="25">
        <v>0</v>
      </c>
      <c r="R249" s="25">
        <f t="shared" si="3"/>
        <v>25</v>
      </c>
      <c r="S249" s="24">
        <v>8</v>
      </c>
      <c r="T249" s="21" t="s">
        <v>1060</v>
      </c>
    </row>
    <row r="250" spans="1:20" ht="23.25" customHeight="1" x14ac:dyDescent="0.25">
      <c r="A250" s="20" t="s">
        <v>1061</v>
      </c>
      <c r="B250" s="22">
        <v>2022</v>
      </c>
      <c r="C250" s="90" t="s">
        <v>21</v>
      </c>
      <c r="D250" s="22" t="s">
        <v>1062</v>
      </c>
      <c r="E250" s="27" t="s">
        <v>1063</v>
      </c>
      <c r="F250" s="29" t="s">
        <v>23</v>
      </c>
      <c r="G250" s="20" t="s">
        <v>364</v>
      </c>
      <c r="H250" s="36" t="s">
        <v>1064</v>
      </c>
      <c r="I250" s="37">
        <v>44708</v>
      </c>
      <c r="J250" s="37">
        <v>44714</v>
      </c>
      <c r="K250" s="22" t="s">
        <v>35</v>
      </c>
      <c r="L250" s="28">
        <v>0</v>
      </c>
      <c r="M250" s="86">
        <v>5</v>
      </c>
      <c r="N250" s="41">
        <v>26</v>
      </c>
      <c r="O250" s="23">
        <v>26</v>
      </c>
      <c r="P250" s="23">
        <v>0</v>
      </c>
      <c r="Q250" s="23">
        <v>0</v>
      </c>
      <c r="R250" s="23">
        <f t="shared" si="3"/>
        <v>26</v>
      </c>
      <c r="S250" s="22">
        <v>20</v>
      </c>
      <c r="T250" s="20" t="s">
        <v>1065</v>
      </c>
    </row>
    <row r="251" spans="1:20" ht="23.25" customHeight="1" x14ac:dyDescent="0.25">
      <c r="A251" s="21" t="s">
        <v>1066</v>
      </c>
      <c r="B251" s="24">
        <v>2022</v>
      </c>
      <c r="C251" s="90" t="s">
        <v>21</v>
      </c>
      <c r="D251" s="24" t="s">
        <v>1067</v>
      </c>
      <c r="E251" s="30" t="s">
        <v>1068</v>
      </c>
      <c r="F251" s="31" t="s">
        <v>81</v>
      </c>
      <c r="G251" s="21" t="s">
        <v>72</v>
      </c>
      <c r="H251" s="38" t="s">
        <v>1069</v>
      </c>
      <c r="I251" s="39">
        <v>44712</v>
      </c>
      <c r="J251" s="39">
        <v>44712</v>
      </c>
      <c r="K251" s="24" t="s">
        <v>35</v>
      </c>
      <c r="L251" s="26">
        <v>987.21</v>
      </c>
      <c r="M251" s="87">
        <v>4.7</v>
      </c>
      <c r="N251" s="40">
        <v>56</v>
      </c>
      <c r="O251" s="25">
        <v>0</v>
      </c>
      <c r="P251" s="25">
        <v>0</v>
      </c>
      <c r="Q251" s="25">
        <v>56</v>
      </c>
      <c r="R251" s="25">
        <f t="shared" si="3"/>
        <v>56</v>
      </c>
      <c r="S251" s="24">
        <v>2</v>
      </c>
      <c r="T251" s="21" t="s">
        <v>549</v>
      </c>
    </row>
    <row r="252" spans="1:20" ht="23.25" customHeight="1" x14ac:dyDescent="0.25">
      <c r="A252" s="20" t="s">
        <v>1070</v>
      </c>
      <c r="B252" s="22">
        <v>2022</v>
      </c>
      <c r="C252" s="90" t="s">
        <v>21</v>
      </c>
      <c r="D252" s="22" t="s">
        <v>1071</v>
      </c>
      <c r="E252" s="27" t="s">
        <v>1072</v>
      </c>
      <c r="F252" s="29" t="s">
        <v>23</v>
      </c>
      <c r="G252" s="20" t="s">
        <v>364</v>
      </c>
      <c r="H252" s="36" t="s">
        <v>1073</v>
      </c>
      <c r="I252" s="37">
        <v>44715</v>
      </c>
      <c r="J252" s="37">
        <v>44715</v>
      </c>
      <c r="K252" s="22" t="s">
        <v>35</v>
      </c>
      <c r="L252" s="28">
        <f>740.4+867.47</f>
        <v>1607.87</v>
      </c>
      <c r="M252" s="86">
        <v>4.5999999999999996</v>
      </c>
      <c r="N252" s="41">
        <v>26</v>
      </c>
      <c r="O252" s="23">
        <v>26</v>
      </c>
      <c r="P252" s="23">
        <v>0</v>
      </c>
      <c r="Q252" s="23">
        <v>0</v>
      </c>
      <c r="R252" s="23">
        <f t="shared" si="3"/>
        <v>26</v>
      </c>
      <c r="S252" s="22">
        <v>4.5</v>
      </c>
      <c r="T252" s="20" t="s">
        <v>1074</v>
      </c>
    </row>
    <row r="253" spans="1:20" ht="23.25" customHeight="1" x14ac:dyDescent="0.25">
      <c r="A253" s="21" t="s">
        <v>1075</v>
      </c>
      <c r="B253" s="24">
        <v>2022</v>
      </c>
      <c r="C253" s="90" t="s">
        <v>21</v>
      </c>
      <c r="D253" s="24" t="s">
        <v>1076</v>
      </c>
      <c r="E253" s="30" t="s">
        <v>1077</v>
      </c>
      <c r="F253" s="31" t="s">
        <v>23</v>
      </c>
      <c r="G253" s="21" t="s">
        <v>24</v>
      </c>
      <c r="H253" s="38" t="s">
        <v>1078</v>
      </c>
      <c r="I253" s="39">
        <v>44718</v>
      </c>
      <c r="J253" s="39">
        <v>44718</v>
      </c>
      <c r="K253" s="24" t="s">
        <v>35</v>
      </c>
      <c r="L253" s="26">
        <v>440.15</v>
      </c>
      <c r="M253" s="87">
        <v>5</v>
      </c>
      <c r="N253" s="40">
        <v>0</v>
      </c>
      <c r="O253" s="25">
        <v>26</v>
      </c>
      <c r="P253" s="25">
        <v>0</v>
      </c>
      <c r="Q253" s="25">
        <v>0</v>
      </c>
      <c r="R253" s="25">
        <f t="shared" si="3"/>
        <v>26</v>
      </c>
      <c r="S253" s="24">
        <v>1</v>
      </c>
      <c r="T253" s="21" t="s">
        <v>584</v>
      </c>
    </row>
    <row r="254" spans="1:20" ht="23.25" customHeight="1" x14ac:dyDescent="0.25">
      <c r="A254" s="20" t="s">
        <v>1079</v>
      </c>
      <c r="B254" s="22">
        <v>2022</v>
      </c>
      <c r="C254" s="90" t="s">
        <v>21</v>
      </c>
      <c r="D254" s="22" t="s">
        <v>1080</v>
      </c>
      <c r="E254" s="27" t="s">
        <v>1081</v>
      </c>
      <c r="F254" s="29" t="s">
        <v>23</v>
      </c>
      <c r="G254" s="20" t="s">
        <v>38</v>
      </c>
      <c r="H254" s="36" t="s">
        <v>1082</v>
      </c>
      <c r="I254" s="37">
        <v>44733</v>
      </c>
      <c r="J254" s="37">
        <v>44825</v>
      </c>
      <c r="K254" s="22" t="s">
        <v>26</v>
      </c>
      <c r="L254" s="28">
        <v>39600</v>
      </c>
      <c r="M254" s="86">
        <v>5</v>
      </c>
      <c r="N254" s="41">
        <v>20</v>
      </c>
      <c r="O254" s="23">
        <v>11</v>
      </c>
      <c r="P254" s="23">
        <v>0</v>
      </c>
      <c r="Q254" s="23">
        <v>0</v>
      </c>
      <c r="R254" s="23">
        <f t="shared" si="3"/>
        <v>11</v>
      </c>
      <c r="S254" s="22">
        <v>66</v>
      </c>
      <c r="T254" s="20" t="s">
        <v>1083</v>
      </c>
    </row>
    <row r="255" spans="1:20" ht="23.25" customHeight="1" x14ac:dyDescent="0.25">
      <c r="A255" s="21" t="s">
        <v>1084</v>
      </c>
      <c r="B255" s="24">
        <v>2022</v>
      </c>
      <c r="C255" s="90" t="s">
        <v>21</v>
      </c>
      <c r="D255" s="24" t="s">
        <v>1085</v>
      </c>
      <c r="E255" s="30" t="s">
        <v>1086</v>
      </c>
      <c r="F255" s="31" t="s">
        <v>23</v>
      </c>
      <c r="G255" s="21" t="s">
        <v>38</v>
      </c>
      <c r="H255" s="38" t="s">
        <v>817</v>
      </c>
      <c r="I255" s="39">
        <v>44741</v>
      </c>
      <c r="J255" s="39"/>
      <c r="K255" s="24" t="s">
        <v>26</v>
      </c>
      <c r="L255" s="26">
        <v>0</v>
      </c>
      <c r="M255" s="87">
        <v>5</v>
      </c>
      <c r="N255" s="40">
        <v>14</v>
      </c>
      <c r="O255" s="25">
        <v>14</v>
      </c>
      <c r="P255" s="25">
        <v>0</v>
      </c>
      <c r="Q255" s="25">
        <v>0</v>
      </c>
      <c r="R255" s="25">
        <f t="shared" si="3"/>
        <v>14</v>
      </c>
      <c r="S255" s="24">
        <v>7</v>
      </c>
      <c r="T255" s="21" t="s">
        <v>1087</v>
      </c>
    </row>
    <row r="256" spans="1:20" ht="23.25" customHeight="1" x14ac:dyDescent="0.25">
      <c r="A256" s="20" t="s">
        <v>1088</v>
      </c>
      <c r="B256" s="22">
        <v>2022</v>
      </c>
      <c r="C256" s="90" t="s">
        <v>21</v>
      </c>
      <c r="D256" s="22" t="s">
        <v>1089</v>
      </c>
      <c r="E256" s="27" t="s">
        <v>1090</v>
      </c>
      <c r="F256" s="29" t="s">
        <v>81</v>
      </c>
      <c r="G256" s="20" t="s">
        <v>72</v>
      </c>
      <c r="H256" s="36" t="s">
        <v>1091</v>
      </c>
      <c r="I256" s="37">
        <v>44753</v>
      </c>
      <c r="J256" s="37">
        <v>44757</v>
      </c>
      <c r="K256" s="22" t="s">
        <v>35</v>
      </c>
      <c r="L256" s="28">
        <v>5182.8900000000003</v>
      </c>
      <c r="M256" s="86">
        <v>4.5</v>
      </c>
      <c r="N256" s="41">
        <v>40</v>
      </c>
      <c r="O256" s="23">
        <v>0</v>
      </c>
      <c r="P256" s="23">
        <v>0</v>
      </c>
      <c r="Q256" s="23">
        <v>49</v>
      </c>
      <c r="R256" s="23">
        <f t="shared" si="3"/>
        <v>49</v>
      </c>
      <c r="S256" s="22">
        <v>10.5</v>
      </c>
      <c r="T256" s="20" t="s">
        <v>855</v>
      </c>
    </row>
    <row r="257" spans="1:20" ht="23.25" customHeight="1" x14ac:dyDescent="0.25">
      <c r="A257" s="21" t="s">
        <v>1092</v>
      </c>
      <c r="B257" s="24">
        <v>2022</v>
      </c>
      <c r="C257" s="90" t="s">
        <v>21</v>
      </c>
      <c r="D257" s="24" t="s">
        <v>1093</v>
      </c>
      <c r="E257" s="30" t="s">
        <v>1094</v>
      </c>
      <c r="F257" s="31" t="s">
        <v>23</v>
      </c>
      <c r="G257" s="21" t="s">
        <v>24</v>
      </c>
      <c r="H257" s="38" t="s">
        <v>1095</v>
      </c>
      <c r="I257" s="39">
        <v>44762</v>
      </c>
      <c r="J257" s="39">
        <v>44764</v>
      </c>
      <c r="K257" s="24" t="s">
        <v>35</v>
      </c>
      <c r="L257" s="26">
        <v>2602.4</v>
      </c>
      <c r="M257" s="87">
        <v>4.5999999999999996</v>
      </c>
      <c r="N257" s="40">
        <v>20</v>
      </c>
      <c r="O257" s="25">
        <v>27</v>
      </c>
      <c r="P257" s="25">
        <v>0</v>
      </c>
      <c r="Q257" s="25">
        <v>0</v>
      </c>
      <c r="R257" s="25">
        <f t="shared" si="3"/>
        <v>27</v>
      </c>
      <c r="S257" s="24">
        <v>6</v>
      </c>
      <c r="T257" s="21" t="s">
        <v>1096</v>
      </c>
    </row>
    <row r="258" spans="1:20" ht="23.25" customHeight="1" x14ac:dyDescent="0.25">
      <c r="A258" s="20" t="s">
        <v>1097</v>
      </c>
      <c r="B258" s="22">
        <v>2022</v>
      </c>
      <c r="C258" s="90" t="s">
        <v>21</v>
      </c>
      <c r="D258" s="22" t="s">
        <v>1098</v>
      </c>
      <c r="E258" s="27" t="s">
        <v>1099</v>
      </c>
      <c r="F258" s="29" t="s">
        <v>23</v>
      </c>
      <c r="G258" s="20" t="s">
        <v>33</v>
      </c>
      <c r="H258" s="36" t="s">
        <v>1100</v>
      </c>
      <c r="I258" s="37">
        <v>44771</v>
      </c>
      <c r="J258" s="37">
        <v>44771</v>
      </c>
      <c r="K258" s="22" t="s">
        <v>26</v>
      </c>
      <c r="L258" s="28">
        <v>0</v>
      </c>
      <c r="M258" s="86">
        <v>5</v>
      </c>
      <c r="N258" s="41">
        <v>20</v>
      </c>
      <c r="O258" s="23">
        <v>13</v>
      </c>
      <c r="P258" s="23">
        <v>2</v>
      </c>
      <c r="Q258" s="23">
        <v>7</v>
      </c>
      <c r="R258" s="23">
        <f t="shared" ref="R258:R321" si="4">SUM(O258:Q258)</f>
        <v>22</v>
      </c>
      <c r="S258" s="22">
        <v>2</v>
      </c>
      <c r="T258" s="20" t="s">
        <v>894</v>
      </c>
    </row>
    <row r="259" spans="1:20" ht="23.25" customHeight="1" x14ac:dyDescent="0.25">
      <c r="A259" s="21" t="s">
        <v>1101</v>
      </c>
      <c r="B259" s="24">
        <v>2022</v>
      </c>
      <c r="C259" s="90" t="s">
        <v>21</v>
      </c>
      <c r="D259" s="24" t="s">
        <v>1102</v>
      </c>
      <c r="E259" s="30" t="s">
        <v>1103</v>
      </c>
      <c r="F259" s="31" t="s">
        <v>23</v>
      </c>
      <c r="G259" s="21" t="s">
        <v>24</v>
      </c>
      <c r="H259" s="38" t="s">
        <v>1104</v>
      </c>
      <c r="I259" s="39">
        <v>44775</v>
      </c>
      <c r="J259" s="39">
        <v>44777</v>
      </c>
      <c r="K259" s="24" t="s">
        <v>35</v>
      </c>
      <c r="L259" s="26">
        <v>4000</v>
      </c>
      <c r="M259" s="87">
        <v>4.9400000000000004</v>
      </c>
      <c r="N259" s="40">
        <v>20</v>
      </c>
      <c r="O259" s="25">
        <v>18</v>
      </c>
      <c r="P259" s="25">
        <v>0</v>
      </c>
      <c r="Q259" s="25">
        <v>0</v>
      </c>
      <c r="R259" s="25">
        <f t="shared" si="4"/>
        <v>18</v>
      </c>
      <c r="S259" s="24">
        <v>6</v>
      </c>
      <c r="T259" s="21" t="s">
        <v>1105</v>
      </c>
    </row>
    <row r="260" spans="1:20" ht="23.25" customHeight="1" x14ac:dyDescent="0.25">
      <c r="A260" s="20" t="s">
        <v>1106</v>
      </c>
      <c r="B260" s="22">
        <v>2022</v>
      </c>
      <c r="C260" s="90" t="s">
        <v>21</v>
      </c>
      <c r="D260" s="22" t="s">
        <v>1107</v>
      </c>
      <c r="E260" s="27" t="s">
        <v>1108</v>
      </c>
      <c r="F260" s="29" t="s">
        <v>81</v>
      </c>
      <c r="G260" s="20" t="s">
        <v>72</v>
      </c>
      <c r="H260" s="36" t="s">
        <v>1109</v>
      </c>
      <c r="I260" s="37">
        <v>44778</v>
      </c>
      <c r="J260" s="37">
        <v>44778</v>
      </c>
      <c r="K260" s="22" t="s">
        <v>26</v>
      </c>
      <c r="L260" s="28">
        <v>0</v>
      </c>
      <c r="M260" s="86">
        <v>5</v>
      </c>
      <c r="N260" s="41">
        <v>0</v>
      </c>
      <c r="O260" s="23">
        <v>0</v>
      </c>
      <c r="P260" s="23">
        <v>0</v>
      </c>
      <c r="Q260" s="23">
        <v>31</v>
      </c>
      <c r="R260" s="23">
        <f t="shared" si="4"/>
        <v>31</v>
      </c>
      <c r="S260" s="22">
        <v>2</v>
      </c>
      <c r="T260" s="20" t="s">
        <v>1110</v>
      </c>
    </row>
    <row r="261" spans="1:20" ht="23.25" customHeight="1" x14ac:dyDescent="0.25">
      <c r="A261" s="21" t="s">
        <v>1111</v>
      </c>
      <c r="B261" s="24">
        <v>2022</v>
      </c>
      <c r="C261" s="90" t="s">
        <v>21</v>
      </c>
      <c r="D261" s="24" t="s">
        <v>1112</v>
      </c>
      <c r="E261" s="30" t="s">
        <v>1113</v>
      </c>
      <c r="F261" s="31" t="s">
        <v>23</v>
      </c>
      <c r="G261" s="21" t="s">
        <v>68</v>
      </c>
      <c r="H261" s="38" t="s">
        <v>1114</v>
      </c>
      <c r="I261" s="39">
        <v>44781</v>
      </c>
      <c r="J261" s="39">
        <v>44785</v>
      </c>
      <c r="K261" s="24" t="s">
        <v>26</v>
      </c>
      <c r="L261" s="26">
        <v>11500</v>
      </c>
      <c r="M261" s="87">
        <v>4.7</v>
      </c>
      <c r="N261" s="40">
        <v>30</v>
      </c>
      <c r="O261" s="25">
        <v>18</v>
      </c>
      <c r="P261" s="25">
        <v>7</v>
      </c>
      <c r="Q261" s="25">
        <v>0</v>
      </c>
      <c r="R261" s="25">
        <f t="shared" si="4"/>
        <v>25</v>
      </c>
      <c r="S261" s="24">
        <v>20</v>
      </c>
      <c r="T261" s="21" t="s">
        <v>726</v>
      </c>
    </row>
    <row r="262" spans="1:20" ht="23.25" customHeight="1" x14ac:dyDescent="0.25">
      <c r="A262" s="20" t="s">
        <v>1115</v>
      </c>
      <c r="B262" s="22">
        <v>2022</v>
      </c>
      <c r="C262" s="90" t="s">
        <v>21</v>
      </c>
      <c r="D262" s="22" t="s">
        <v>1116</v>
      </c>
      <c r="E262" s="27" t="s">
        <v>675</v>
      </c>
      <c r="F262" s="29" t="s">
        <v>23</v>
      </c>
      <c r="G262" s="20" t="s">
        <v>33</v>
      </c>
      <c r="H262" s="53">
        <v>44903.333333333299</v>
      </c>
      <c r="I262" s="37">
        <v>44781</v>
      </c>
      <c r="J262" s="37">
        <v>44785</v>
      </c>
      <c r="K262" s="22" t="s">
        <v>26</v>
      </c>
      <c r="L262" s="28">
        <v>4000</v>
      </c>
      <c r="M262" s="86">
        <v>4.7</v>
      </c>
      <c r="N262" s="41">
        <v>20</v>
      </c>
      <c r="O262" s="23">
        <v>9</v>
      </c>
      <c r="P262" s="23">
        <v>0</v>
      </c>
      <c r="Q262" s="23">
        <v>0</v>
      </c>
      <c r="R262" s="23">
        <f t="shared" si="4"/>
        <v>9</v>
      </c>
      <c r="S262" s="22">
        <v>20</v>
      </c>
      <c r="T262" s="20" t="s">
        <v>677</v>
      </c>
    </row>
    <row r="263" spans="1:20" ht="23.25" customHeight="1" x14ac:dyDescent="0.25">
      <c r="A263" s="21" t="s">
        <v>1117</v>
      </c>
      <c r="B263" s="24">
        <v>2022</v>
      </c>
      <c r="C263" s="90" t="s">
        <v>21</v>
      </c>
      <c r="D263" s="24" t="s">
        <v>1102</v>
      </c>
      <c r="E263" s="30" t="s">
        <v>1118</v>
      </c>
      <c r="F263" s="31" t="s">
        <v>23</v>
      </c>
      <c r="G263" s="21" t="s">
        <v>24</v>
      </c>
      <c r="H263" s="38" t="s">
        <v>1119</v>
      </c>
      <c r="I263" s="39">
        <v>44789</v>
      </c>
      <c r="J263" s="39">
        <v>44791</v>
      </c>
      <c r="K263" s="24" t="s">
        <v>35</v>
      </c>
      <c r="L263" s="26">
        <v>4000</v>
      </c>
      <c r="M263" s="87">
        <v>4.9000000000000004</v>
      </c>
      <c r="N263" s="40">
        <v>20</v>
      </c>
      <c r="O263" s="25">
        <v>8</v>
      </c>
      <c r="P263" s="25">
        <v>0</v>
      </c>
      <c r="Q263" s="25">
        <v>0</v>
      </c>
      <c r="R263" s="25">
        <f t="shared" si="4"/>
        <v>8</v>
      </c>
      <c r="S263" s="24">
        <v>6</v>
      </c>
      <c r="T263" s="21" t="s">
        <v>1120</v>
      </c>
    </row>
    <row r="264" spans="1:20" ht="23.25" customHeight="1" x14ac:dyDescent="0.25">
      <c r="A264" s="20" t="s">
        <v>1121</v>
      </c>
      <c r="B264" s="22">
        <v>2022</v>
      </c>
      <c r="C264" s="90" t="s">
        <v>21</v>
      </c>
      <c r="D264" s="22" t="s">
        <v>1122</v>
      </c>
      <c r="E264" s="27" t="s">
        <v>1123</v>
      </c>
      <c r="F264" s="29" t="s">
        <v>81</v>
      </c>
      <c r="G264" s="20" t="s">
        <v>72</v>
      </c>
      <c r="H264" s="36" t="s">
        <v>1124</v>
      </c>
      <c r="I264" s="37">
        <v>44795</v>
      </c>
      <c r="J264" s="37">
        <v>44795</v>
      </c>
      <c r="K264" s="22" t="s">
        <v>35</v>
      </c>
      <c r="L264" s="28">
        <v>800</v>
      </c>
      <c r="M264" s="86">
        <v>5</v>
      </c>
      <c r="N264" s="41">
        <v>0</v>
      </c>
      <c r="O264" s="23">
        <v>0</v>
      </c>
      <c r="P264" s="23">
        <v>0</v>
      </c>
      <c r="Q264" s="23">
        <v>29</v>
      </c>
      <c r="R264" s="23">
        <f t="shared" si="4"/>
        <v>29</v>
      </c>
      <c r="S264" s="22">
        <v>1</v>
      </c>
      <c r="T264" s="20" t="s">
        <v>1023</v>
      </c>
    </row>
    <row r="265" spans="1:20" ht="23.25" customHeight="1" x14ac:dyDescent="0.25">
      <c r="A265" s="21" t="s">
        <v>1125</v>
      </c>
      <c r="B265" s="24">
        <v>2022</v>
      </c>
      <c r="C265" s="90" t="s">
        <v>21</v>
      </c>
      <c r="D265" s="24" t="s">
        <v>1126</v>
      </c>
      <c r="E265" s="30" t="s">
        <v>1127</v>
      </c>
      <c r="F265" s="31" t="s">
        <v>81</v>
      </c>
      <c r="G265" s="21" t="s">
        <v>72</v>
      </c>
      <c r="H265" s="38" t="s">
        <v>1128</v>
      </c>
      <c r="I265" s="39">
        <v>44799</v>
      </c>
      <c r="J265" s="39">
        <v>44799</v>
      </c>
      <c r="K265" s="24" t="s">
        <v>26</v>
      </c>
      <c r="L265" s="26">
        <v>0</v>
      </c>
      <c r="M265" s="87">
        <v>5</v>
      </c>
      <c r="N265" s="40">
        <v>24</v>
      </c>
      <c r="O265" s="25">
        <v>3</v>
      </c>
      <c r="P265" s="25">
        <v>0</v>
      </c>
      <c r="Q265" s="25">
        <v>21</v>
      </c>
      <c r="R265" s="25">
        <f t="shared" si="4"/>
        <v>24</v>
      </c>
      <c r="S265" s="24">
        <v>4</v>
      </c>
      <c r="T265" s="21" t="s">
        <v>472</v>
      </c>
    </row>
    <row r="266" spans="1:20" ht="23.25" customHeight="1" x14ac:dyDescent="0.25">
      <c r="A266" s="20" t="s">
        <v>1129</v>
      </c>
      <c r="B266" s="22">
        <v>2022</v>
      </c>
      <c r="C266" s="90" t="s">
        <v>21</v>
      </c>
      <c r="D266" s="22" t="s">
        <v>1130</v>
      </c>
      <c r="E266" s="27" t="s">
        <v>1131</v>
      </c>
      <c r="F266" s="29" t="s">
        <v>23</v>
      </c>
      <c r="G266" s="20" t="s">
        <v>38</v>
      </c>
      <c r="H266" s="36" t="s">
        <v>1132</v>
      </c>
      <c r="I266" s="37">
        <v>44806</v>
      </c>
      <c r="J266" s="37">
        <v>44806</v>
      </c>
      <c r="K266" s="22" t="s">
        <v>35</v>
      </c>
      <c r="L266" s="28">
        <v>0</v>
      </c>
      <c r="M266" s="86">
        <v>5</v>
      </c>
      <c r="N266" s="41">
        <v>0</v>
      </c>
      <c r="O266" s="23">
        <v>66</v>
      </c>
      <c r="P266" s="23">
        <v>0</v>
      </c>
      <c r="Q266" s="23">
        <v>0</v>
      </c>
      <c r="R266" s="23">
        <f t="shared" si="4"/>
        <v>66</v>
      </c>
      <c r="S266" s="22">
        <v>1.5</v>
      </c>
      <c r="T266" s="33" t="s">
        <v>211</v>
      </c>
    </row>
    <row r="267" spans="1:20" ht="23.25" customHeight="1" x14ac:dyDescent="0.25">
      <c r="A267" s="21" t="s">
        <v>1133</v>
      </c>
      <c r="B267" s="24">
        <v>2022</v>
      </c>
      <c r="C267" s="90" t="s">
        <v>21</v>
      </c>
      <c r="D267" s="24" t="s">
        <v>1134</v>
      </c>
      <c r="E267" s="30" t="s">
        <v>1135</v>
      </c>
      <c r="F267" s="31" t="s">
        <v>81</v>
      </c>
      <c r="G267" s="21" t="s">
        <v>72</v>
      </c>
      <c r="H267" s="38" t="s">
        <v>1136</v>
      </c>
      <c r="I267" s="39">
        <v>44813</v>
      </c>
      <c r="J267" s="39">
        <v>44813</v>
      </c>
      <c r="K267" s="24" t="s">
        <v>35</v>
      </c>
      <c r="L267" s="26">
        <v>1000</v>
      </c>
      <c r="M267" s="87">
        <v>5</v>
      </c>
      <c r="N267" s="40">
        <v>20</v>
      </c>
      <c r="O267" s="25">
        <v>0</v>
      </c>
      <c r="P267" s="25">
        <v>0</v>
      </c>
      <c r="Q267" s="25">
        <v>20</v>
      </c>
      <c r="R267" s="25">
        <f t="shared" si="4"/>
        <v>20</v>
      </c>
      <c r="S267" s="24">
        <v>3</v>
      </c>
      <c r="T267" s="21" t="s">
        <v>1042</v>
      </c>
    </row>
    <row r="268" spans="1:20" ht="23.25" customHeight="1" x14ac:dyDescent="0.25">
      <c r="A268" s="20" t="s">
        <v>1137</v>
      </c>
      <c r="B268" s="22">
        <v>2022</v>
      </c>
      <c r="C268" s="90" t="s">
        <v>21</v>
      </c>
      <c r="D268" s="22" t="s">
        <v>1138</v>
      </c>
      <c r="E268" s="27" t="s">
        <v>688</v>
      </c>
      <c r="F268" s="29" t="s">
        <v>23</v>
      </c>
      <c r="G268" s="20" t="s">
        <v>33</v>
      </c>
      <c r="H268" s="36" t="s">
        <v>1139</v>
      </c>
      <c r="I268" s="37">
        <v>44816</v>
      </c>
      <c r="J268" s="37">
        <v>44820</v>
      </c>
      <c r="K268" s="22" t="s">
        <v>26</v>
      </c>
      <c r="L268" s="28">
        <v>2000</v>
      </c>
      <c r="M268" s="86">
        <v>5</v>
      </c>
      <c r="N268" s="41">
        <v>20</v>
      </c>
      <c r="O268" s="23">
        <v>13</v>
      </c>
      <c r="P268" s="23">
        <v>0</v>
      </c>
      <c r="Q268" s="23">
        <v>0</v>
      </c>
      <c r="R268" s="23">
        <f t="shared" si="4"/>
        <v>13</v>
      </c>
      <c r="S268" s="22">
        <v>20</v>
      </c>
      <c r="T268" s="20" t="s">
        <v>677</v>
      </c>
    </row>
    <row r="269" spans="1:20" ht="23.25" customHeight="1" x14ac:dyDescent="0.25">
      <c r="A269" s="21" t="s">
        <v>1140</v>
      </c>
      <c r="B269" s="24">
        <v>2022</v>
      </c>
      <c r="C269" s="90" t="s">
        <v>21</v>
      </c>
      <c r="D269" s="24" t="s">
        <v>1141</v>
      </c>
      <c r="E269" s="30" t="s">
        <v>1142</v>
      </c>
      <c r="F269" s="31" t="s">
        <v>23</v>
      </c>
      <c r="G269" s="21" t="s">
        <v>199</v>
      </c>
      <c r="H269" s="38" t="s">
        <v>1143</v>
      </c>
      <c r="I269" s="39">
        <v>44817</v>
      </c>
      <c r="J269" s="39">
        <v>44826</v>
      </c>
      <c r="K269" s="24" t="s">
        <v>26</v>
      </c>
      <c r="L269" s="26">
        <v>6200</v>
      </c>
      <c r="M269" s="87">
        <v>4.7</v>
      </c>
      <c r="N269" s="40">
        <v>30</v>
      </c>
      <c r="O269" s="25">
        <v>15</v>
      </c>
      <c r="P269" s="25">
        <v>0</v>
      </c>
      <c r="Q269" s="25">
        <v>0</v>
      </c>
      <c r="R269" s="25">
        <f t="shared" si="4"/>
        <v>15</v>
      </c>
      <c r="S269" s="24">
        <v>8</v>
      </c>
      <c r="T269" s="21" t="s">
        <v>1060</v>
      </c>
    </row>
    <row r="270" spans="1:20" ht="23.25" customHeight="1" x14ac:dyDescent="0.25">
      <c r="A270" s="20" t="s">
        <v>1144</v>
      </c>
      <c r="B270" s="22">
        <v>2022</v>
      </c>
      <c r="C270" s="90" t="s">
        <v>21</v>
      </c>
      <c r="D270" s="22" t="s">
        <v>1145</v>
      </c>
      <c r="E270" s="27" t="s">
        <v>1146</v>
      </c>
      <c r="F270" s="29" t="s">
        <v>23</v>
      </c>
      <c r="G270" s="20" t="s">
        <v>457</v>
      </c>
      <c r="H270" s="36" t="s">
        <v>1147</v>
      </c>
      <c r="I270" s="37">
        <v>44817</v>
      </c>
      <c r="J270" s="37">
        <v>44909</v>
      </c>
      <c r="K270" s="22" t="s">
        <v>26</v>
      </c>
      <c r="L270" s="28">
        <v>40000</v>
      </c>
      <c r="M270" s="86">
        <v>5</v>
      </c>
      <c r="N270" s="41">
        <v>20</v>
      </c>
      <c r="O270" s="23">
        <v>5</v>
      </c>
      <c r="P270" s="23">
        <v>0</v>
      </c>
      <c r="Q270" s="23">
        <v>0</v>
      </c>
      <c r="R270" s="23">
        <f t="shared" si="4"/>
        <v>5</v>
      </c>
      <c r="S270" s="22">
        <v>30</v>
      </c>
      <c r="T270" s="20" t="s">
        <v>966</v>
      </c>
    </row>
    <row r="271" spans="1:20" ht="23.25" customHeight="1" x14ac:dyDescent="0.25">
      <c r="A271" s="21" t="s">
        <v>1148</v>
      </c>
      <c r="B271" s="24">
        <v>2022</v>
      </c>
      <c r="C271" s="90" t="s">
        <v>21</v>
      </c>
      <c r="D271" s="24" t="s">
        <v>1149</v>
      </c>
      <c r="E271" s="30" t="s">
        <v>1150</v>
      </c>
      <c r="F271" s="31" t="s">
        <v>23</v>
      </c>
      <c r="G271" s="21" t="s">
        <v>24</v>
      </c>
      <c r="H271" s="38" t="s">
        <v>1151</v>
      </c>
      <c r="I271" s="39">
        <v>44823</v>
      </c>
      <c r="J271" s="39">
        <v>44831</v>
      </c>
      <c r="K271" s="24" t="s">
        <v>35</v>
      </c>
      <c r="L271" s="26">
        <v>5000</v>
      </c>
      <c r="M271" s="87">
        <v>5</v>
      </c>
      <c r="N271" s="40">
        <v>20</v>
      </c>
      <c r="O271" s="25">
        <v>18</v>
      </c>
      <c r="P271" s="25">
        <v>0</v>
      </c>
      <c r="Q271" s="25">
        <v>0</v>
      </c>
      <c r="R271" s="25">
        <f t="shared" si="4"/>
        <v>18</v>
      </c>
      <c r="S271" s="24">
        <v>12</v>
      </c>
      <c r="T271" s="21" t="s">
        <v>544</v>
      </c>
    </row>
    <row r="272" spans="1:20" ht="23.25" customHeight="1" x14ac:dyDescent="0.25">
      <c r="A272" s="20" t="s">
        <v>1152</v>
      </c>
      <c r="B272" s="22">
        <v>2022</v>
      </c>
      <c r="C272" s="90" t="s">
        <v>21</v>
      </c>
      <c r="D272" s="22" t="s">
        <v>1149</v>
      </c>
      <c r="E272" s="27" t="s">
        <v>1153</v>
      </c>
      <c r="F272" s="29" t="s">
        <v>23</v>
      </c>
      <c r="G272" s="20" t="s">
        <v>24</v>
      </c>
      <c r="H272" s="36" t="s">
        <v>1154</v>
      </c>
      <c r="I272" s="37">
        <v>44823</v>
      </c>
      <c r="J272" s="37">
        <v>44833</v>
      </c>
      <c r="K272" s="22" t="s">
        <v>35</v>
      </c>
      <c r="L272" s="28">
        <v>5000</v>
      </c>
      <c r="M272" s="86">
        <v>5</v>
      </c>
      <c r="N272" s="41">
        <v>20</v>
      </c>
      <c r="O272" s="23">
        <v>8</v>
      </c>
      <c r="P272" s="23">
        <v>0</v>
      </c>
      <c r="Q272" s="23">
        <v>0</v>
      </c>
      <c r="R272" s="23">
        <f t="shared" si="4"/>
        <v>8</v>
      </c>
      <c r="S272" s="22">
        <v>12</v>
      </c>
      <c r="T272" s="20" t="s">
        <v>544</v>
      </c>
    </row>
    <row r="273" spans="1:20" ht="23.25" customHeight="1" x14ac:dyDescent="0.25">
      <c r="A273" s="21" t="s">
        <v>1155</v>
      </c>
      <c r="B273" s="24">
        <v>2022</v>
      </c>
      <c r="C273" s="90" t="s">
        <v>21</v>
      </c>
      <c r="D273" s="24" t="s">
        <v>1156</v>
      </c>
      <c r="E273" s="30" t="s">
        <v>1157</v>
      </c>
      <c r="F273" s="31" t="s">
        <v>225</v>
      </c>
      <c r="G273" s="21" t="s">
        <v>72</v>
      </c>
      <c r="H273" s="38" t="s">
        <v>1158</v>
      </c>
      <c r="I273" s="39">
        <v>44830</v>
      </c>
      <c r="J273" s="39">
        <v>44833</v>
      </c>
      <c r="K273" s="24" t="s">
        <v>26</v>
      </c>
      <c r="L273" s="26">
        <v>19800</v>
      </c>
      <c r="M273" s="87">
        <v>4.5999999999999996</v>
      </c>
      <c r="N273" s="40">
        <v>80</v>
      </c>
      <c r="O273" s="25">
        <v>3</v>
      </c>
      <c r="P273" s="25">
        <v>80</v>
      </c>
      <c r="Q273" s="25">
        <v>0</v>
      </c>
      <c r="R273" s="25">
        <f t="shared" si="4"/>
        <v>83</v>
      </c>
      <c r="S273" s="24">
        <v>16</v>
      </c>
      <c r="T273" s="21" t="s">
        <v>1159</v>
      </c>
    </row>
    <row r="274" spans="1:20" ht="23.25" customHeight="1" x14ac:dyDescent="0.25">
      <c r="A274" s="20" t="s">
        <v>1160</v>
      </c>
      <c r="B274" s="22">
        <v>2022</v>
      </c>
      <c r="C274" s="90" t="s">
        <v>21</v>
      </c>
      <c r="D274" s="22" t="s">
        <v>1161</v>
      </c>
      <c r="E274" s="27" t="s">
        <v>1162</v>
      </c>
      <c r="F274" s="29" t="s">
        <v>23</v>
      </c>
      <c r="G274" s="20" t="s">
        <v>199</v>
      </c>
      <c r="H274" s="36" t="s">
        <v>1163</v>
      </c>
      <c r="I274" s="37">
        <v>44834</v>
      </c>
      <c r="J274" s="37">
        <v>44834</v>
      </c>
      <c r="K274" s="22" t="s">
        <v>26</v>
      </c>
      <c r="L274" s="28">
        <v>0</v>
      </c>
      <c r="M274" s="86">
        <v>5</v>
      </c>
      <c r="N274" s="41">
        <v>0</v>
      </c>
      <c r="O274" s="23">
        <v>24</v>
      </c>
      <c r="P274" s="23">
        <v>0</v>
      </c>
      <c r="Q274" s="23">
        <v>0</v>
      </c>
      <c r="R274" s="23">
        <f t="shared" si="4"/>
        <v>24</v>
      </c>
      <c r="S274" s="22">
        <v>2</v>
      </c>
      <c r="T274" s="20" t="s">
        <v>1164</v>
      </c>
    </row>
    <row r="275" spans="1:20" ht="23.25" customHeight="1" x14ac:dyDescent="0.25">
      <c r="A275" s="21" t="s">
        <v>1165</v>
      </c>
      <c r="B275" s="24">
        <v>2022</v>
      </c>
      <c r="C275" s="90" t="s">
        <v>21</v>
      </c>
      <c r="D275" s="24" t="s">
        <v>1166</v>
      </c>
      <c r="E275" s="30" t="s">
        <v>720</v>
      </c>
      <c r="F275" s="31" t="s">
        <v>23</v>
      </c>
      <c r="G275" s="21" t="s">
        <v>33</v>
      </c>
      <c r="H275" s="38" t="s">
        <v>1167</v>
      </c>
      <c r="I275" s="39">
        <v>44837</v>
      </c>
      <c r="J275" s="39">
        <v>44841</v>
      </c>
      <c r="K275" s="24" t="s">
        <v>26</v>
      </c>
      <c r="L275" s="26">
        <v>2000</v>
      </c>
      <c r="M275" s="87">
        <v>4.2</v>
      </c>
      <c r="N275" s="40">
        <v>20</v>
      </c>
      <c r="O275" s="25">
        <v>20</v>
      </c>
      <c r="P275" s="25">
        <v>0</v>
      </c>
      <c r="Q275" s="25">
        <v>0</v>
      </c>
      <c r="R275" s="25">
        <f t="shared" si="4"/>
        <v>20</v>
      </c>
      <c r="S275" s="24">
        <v>20</v>
      </c>
      <c r="T275" s="21" t="s">
        <v>677</v>
      </c>
    </row>
    <row r="276" spans="1:20" ht="23.25" customHeight="1" x14ac:dyDescent="0.25">
      <c r="A276" s="20" t="s">
        <v>1168</v>
      </c>
      <c r="B276" s="22">
        <v>2022</v>
      </c>
      <c r="C276" s="90" t="s">
        <v>21</v>
      </c>
      <c r="D276" s="22" t="s">
        <v>1169</v>
      </c>
      <c r="E276" s="27" t="s">
        <v>1170</v>
      </c>
      <c r="F276" s="29" t="s">
        <v>81</v>
      </c>
      <c r="G276" s="20" t="s">
        <v>72</v>
      </c>
      <c r="H276" s="36" t="s">
        <v>1171</v>
      </c>
      <c r="I276" s="37">
        <v>44837</v>
      </c>
      <c r="J276" s="37">
        <v>44841</v>
      </c>
      <c r="K276" s="22" t="s">
        <v>26</v>
      </c>
      <c r="L276" s="28">
        <v>4800</v>
      </c>
      <c r="M276" s="86">
        <v>4.8</v>
      </c>
      <c r="N276" s="41">
        <v>30</v>
      </c>
      <c r="O276" s="23">
        <v>0</v>
      </c>
      <c r="P276" s="23">
        <v>0</v>
      </c>
      <c r="Q276" s="23">
        <v>39</v>
      </c>
      <c r="R276" s="23">
        <f t="shared" si="4"/>
        <v>39</v>
      </c>
      <c r="S276" s="22">
        <v>12</v>
      </c>
      <c r="T276" s="20" t="s">
        <v>1172</v>
      </c>
    </row>
    <row r="277" spans="1:20" ht="23.25" customHeight="1" x14ac:dyDescent="0.25">
      <c r="A277" s="21" t="s">
        <v>1173</v>
      </c>
      <c r="B277" s="24">
        <v>2022</v>
      </c>
      <c r="C277" s="90" t="s">
        <v>21</v>
      </c>
      <c r="D277" s="24" t="s">
        <v>1174</v>
      </c>
      <c r="E277" s="30" t="s">
        <v>1175</v>
      </c>
      <c r="F277" s="31" t="s">
        <v>23</v>
      </c>
      <c r="G277" s="21" t="s">
        <v>199</v>
      </c>
      <c r="H277" s="38" t="s">
        <v>1176</v>
      </c>
      <c r="I277" s="39">
        <v>44841</v>
      </c>
      <c r="J277" s="39">
        <v>44841</v>
      </c>
      <c r="K277" s="24" t="s">
        <v>26</v>
      </c>
      <c r="L277" s="26">
        <v>4000</v>
      </c>
      <c r="M277" s="87">
        <v>5</v>
      </c>
      <c r="N277" s="40">
        <v>0</v>
      </c>
      <c r="O277" s="25">
        <v>39</v>
      </c>
      <c r="P277" s="25">
        <v>0</v>
      </c>
      <c r="Q277" s="25">
        <v>0</v>
      </c>
      <c r="R277" s="25">
        <f t="shared" si="4"/>
        <v>39</v>
      </c>
      <c r="S277" s="24">
        <v>1</v>
      </c>
      <c r="T277" s="21" t="s">
        <v>1177</v>
      </c>
    </row>
    <row r="278" spans="1:20" ht="23.25" customHeight="1" x14ac:dyDescent="0.25">
      <c r="A278" s="20" t="s">
        <v>1178</v>
      </c>
      <c r="B278" s="22">
        <v>2022</v>
      </c>
      <c r="C278" s="90" t="s">
        <v>21</v>
      </c>
      <c r="D278" s="22" t="s">
        <v>1179</v>
      </c>
      <c r="E278" s="27" t="s">
        <v>1180</v>
      </c>
      <c r="F278" s="29" t="s">
        <v>225</v>
      </c>
      <c r="G278" s="20" t="s">
        <v>72</v>
      </c>
      <c r="H278" s="36" t="s">
        <v>1181</v>
      </c>
      <c r="I278" s="37">
        <v>44844</v>
      </c>
      <c r="J278" s="37">
        <v>44845</v>
      </c>
      <c r="K278" s="22" t="s">
        <v>26</v>
      </c>
      <c r="L278" s="28">
        <v>0</v>
      </c>
      <c r="M278" s="86">
        <v>5</v>
      </c>
      <c r="N278" s="41">
        <v>0</v>
      </c>
      <c r="O278" s="23">
        <v>31</v>
      </c>
      <c r="P278" s="23">
        <v>246</v>
      </c>
      <c r="Q278" s="23">
        <v>0</v>
      </c>
      <c r="R278" s="23">
        <f t="shared" si="4"/>
        <v>277</v>
      </c>
      <c r="S278" s="22">
        <v>6</v>
      </c>
      <c r="T278" s="54" t="s">
        <v>1182</v>
      </c>
    </row>
    <row r="279" spans="1:20" ht="23.25" customHeight="1" x14ac:dyDescent="0.25">
      <c r="A279" s="21" t="s">
        <v>1183</v>
      </c>
      <c r="B279" s="24">
        <v>2022</v>
      </c>
      <c r="C279" s="90" t="s">
        <v>21</v>
      </c>
      <c r="D279" s="24" t="s">
        <v>1184</v>
      </c>
      <c r="E279" s="30" t="s">
        <v>1185</v>
      </c>
      <c r="F279" s="31" t="s">
        <v>225</v>
      </c>
      <c r="G279" s="21" t="s">
        <v>72</v>
      </c>
      <c r="H279" s="38" t="s">
        <v>1186</v>
      </c>
      <c r="I279" s="39">
        <v>44847</v>
      </c>
      <c r="J279" s="39">
        <v>44848</v>
      </c>
      <c r="K279" s="24" t="s">
        <v>35</v>
      </c>
      <c r="L279" s="26">
        <v>3469.88</v>
      </c>
      <c r="M279" s="87">
        <v>4.7</v>
      </c>
      <c r="N279" s="40">
        <v>40</v>
      </c>
      <c r="O279" s="25">
        <v>0</v>
      </c>
      <c r="P279" s="25">
        <v>43</v>
      </c>
      <c r="Q279" s="25">
        <v>0</v>
      </c>
      <c r="R279" s="25">
        <f t="shared" si="4"/>
        <v>43</v>
      </c>
      <c r="S279" s="24">
        <v>8</v>
      </c>
      <c r="T279" s="21" t="s">
        <v>1187</v>
      </c>
    </row>
    <row r="280" spans="1:20" ht="23.25" customHeight="1" x14ac:dyDescent="0.25">
      <c r="A280" s="20" t="s">
        <v>1188</v>
      </c>
      <c r="B280" s="22">
        <v>2022</v>
      </c>
      <c r="C280" s="90" t="s">
        <v>21</v>
      </c>
      <c r="D280" s="22" t="s">
        <v>1189</v>
      </c>
      <c r="E280" s="27" t="s">
        <v>1190</v>
      </c>
      <c r="F280" s="29" t="s">
        <v>225</v>
      </c>
      <c r="G280" s="20" t="s">
        <v>72</v>
      </c>
      <c r="H280" s="36" t="s">
        <v>1191</v>
      </c>
      <c r="I280" s="37">
        <v>44847</v>
      </c>
      <c r="J280" s="37">
        <v>44847</v>
      </c>
      <c r="K280" s="22" t="s">
        <v>35</v>
      </c>
      <c r="L280" s="28">
        <v>867.47</v>
      </c>
      <c r="M280" s="86">
        <v>4.5</v>
      </c>
      <c r="N280" s="41">
        <v>20</v>
      </c>
      <c r="O280" s="23">
        <v>0</v>
      </c>
      <c r="P280" s="23">
        <v>21</v>
      </c>
      <c r="Q280" s="23">
        <v>0</v>
      </c>
      <c r="R280" s="23">
        <f t="shared" si="4"/>
        <v>21</v>
      </c>
      <c r="S280" s="22">
        <v>2</v>
      </c>
      <c r="T280" s="20" t="s">
        <v>1055</v>
      </c>
    </row>
    <row r="281" spans="1:20" ht="23.25" customHeight="1" x14ac:dyDescent="0.25">
      <c r="A281" s="21" t="s">
        <v>1192</v>
      </c>
      <c r="B281" s="24">
        <v>2022</v>
      </c>
      <c r="C281" s="90" t="s">
        <v>21</v>
      </c>
      <c r="D281" s="24" t="s">
        <v>1193</v>
      </c>
      <c r="E281" s="55" t="s">
        <v>1194</v>
      </c>
      <c r="F281" s="31" t="s">
        <v>23</v>
      </c>
      <c r="G281" s="21" t="s">
        <v>199</v>
      </c>
      <c r="H281" s="38" t="s">
        <v>1195</v>
      </c>
      <c r="I281" s="39">
        <v>44848</v>
      </c>
      <c r="J281" s="39">
        <v>44848</v>
      </c>
      <c r="K281" s="24" t="s">
        <v>35</v>
      </c>
      <c r="L281" s="26">
        <v>0</v>
      </c>
      <c r="M281" s="87">
        <v>5</v>
      </c>
      <c r="N281" s="40">
        <v>0</v>
      </c>
      <c r="O281" s="25">
        <v>60</v>
      </c>
      <c r="P281" s="25">
        <v>0</v>
      </c>
      <c r="Q281" s="25">
        <v>84</v>
      </c>
      <c r="R281" s="25">
        <f t="shared" si="4"/>
        <v>144</v>
      </c>
      <c r="S281" s="24">
        <v>2</v>
      </c>
      <c r="T281" s="21" t="s">
        <v>82</v>
      </c>
    </row>
    <row r="282" spans="1:20" ht="23.25" customHeight="1" x14ac:dyDescent="0.25">
      <c r="A282" s="20" t="s">
        <v>1196</v>
      </c>
      <c r="B282" s="22">
        <v>2022</v>
      </c>
      <c r="C282" s="90" t="s">
        <v>21</v>
      </c>
      <c r="D282" s="22" t="s">
        <v>1145</v>
      </c>
      <c r="E282" s="27" t="s">
        <v>1197</v>
      </c>
      <c r="F282" s="29" t="s">
        <v>23</v>
      </c>
      <c r="G282" s="20" t="s">
        <v>457</v>
      </c>
      <c r="H282" s="36" t="s">
        <v>1198</v>
      </c>
      <c r="I282" s="37">
        <v>44851</v>
      </c>
      <c r="J282" s="37">
        <v>44876</v>
      </c>
      <c r="K282" s="22" t="s">
        <v>26</v>
      </c>
      <c r="L282" s="28">
        <v>27000</v>
      </c>
      <c r="M282" s="86">
        <v>4.5999999999999996</v>
      </c>
      <c r="N282" s="41">
        <v>20</v>
      </c>
      <c r="O282" s="23">
        <v>19</v>
      </c>
      <c r="P282" s="23">
        <v>0</v>
      </c>
      <c r="Q282" s="23">
        <v>0</v>
      </c>
      <c r="R282" s="23">
        <f t="shared" si="4"/>
        <v>19</v>
      </c>
      <c r="S282" s="22">
        <v>30</v>
      </c>
      <c r="T282" s="20" t="s">
        <v>966</v>
      </c>
    </row>
    <row r="283" spans="1:20" ht="23.25" customHeight="1" x14ac:dyDescent="0.25">
      <c r="A283" s="21" t="s">
        <v>1199</v>
      </c>
      <c r="B283" s="24">
        <v>2022</v>
      </c>
      <c r="C283" s="90" t="s">
        <v>21</v>
      </c>
      <c r="D283" s="24" t="s">
        <v>1200</v>
      </c>
      <c r="E283" s="30" t="s">
        <v>1201</v>
      </c>
      <c r="F283" s="31" t="s">
        <v>81</v>
      </c>
      <c r="G283" s="21" t="s">
        <v>72</v>
      </c>
      <c r="H283" s="38" t="s">
        <v>1202</v>
      </c>
      <c r="I283" s="39">
        <v>44852</v>
      </c>
      <c r="J283" s="39">
        <v>44855</v>
      </c>
      <c r="K283" s="24" t="s">
        <v>35</v>
      </c>
      <c r="L283" s="26">
        <v>8000</v>
      </c>
      <c r="M283" s="87">
        <v>4.9000000000000004</v>
      </c>
      <c r="N283" s="40">
        <v>40</v>
      </c>
      <c r="O283" s="25">
        <v>1</v>
      </c>
      <c r="P283" s="25">
        <v>0</v>
      </c>
      <c r="Q283" s="25">
        <v>64</v>
      </c>
      <c r="R283" s="25">
        <f t="shared" si="4"/>
        <v>65</v>
      </c>
      <c r="S283" s="24">
        <v>16</v>
      </c>
      <c r="T283" s="21" t="s">
        <v>418</v>
      </c>
    </row>
    <row r="284" spans="1:20" ht="23.25" customHeight="1" x14ac:dyDescent="0.25">
      <c r="A284" s="20" t="s">
        <v>1203</v>
      </c>
      <c r="B284" s="22">
        <v>2022</v>
      </c>
      <c r="C284" s="90" t="s">
        <v>21</v>
      </c>
      <c r="D284" s="22" t="s">
        <v>1204</v>
      </c>
      <c r="E284" s="27" t="s">
        <v>1205</v>
      </c>
      <c r="F284" s="29" t="s">
        <v>23</v>
      </c>
      <c r="G284" s="20" t="s">
        <v>24</v>
      </c>
      <c r="H284" s="36" t="s">
        <v>1206</v>
      </c>
      <c r="I284" s="37">
        <v>44854</v>
      </c>
      <c r="J284" s="37">
        <v>44854</v>
      </c>
      <c r="K284" s="22" t="s">
        <v>35</v>
      </c>
      <c r="L284" s="28">
        <v>1799.94</v>
      </c>
      <c r="M284" s="86">
        <v>5</v>
      </c>
      <c r="N284" s="41">
        <v>0</v>
      </c>
      <c r="O284" s="23">
        <v>72</v>
      </c>
      <c r="P284" s="23">
        <v>0</v>
      </c>
      <c r="Q284" s="23">
        <v>0</v>
      </c>
      <c r="R284" s="23">
        <f t="shared" si="4"/>
        <v>72</v>
      </c>
      <c r="S284" s="22">
        <v>2</v>
      </c>
      <c r="T284" s="20" t="s">
        <v>1207</v>
      </c>
    </row>
    <row r="285" spans="1:20" ht="23.25" customHeight="1" x14ac:dyDescent="0.25">
      <c r="A285" s="21" t="s">
        <v>1208</v>
      </c>
      <c r="B285" s="24">
        <v>2022</v>
      </c>
      <c r="C285" s="90" t="s">
        <v>21</v>
      </c>
      <c r="D285" s="24" t="s">
        <v>1209</v>
      </c>
      <c r="E285" s="30" t="s">
        <v>1210</v>
      </c>
      <c r="F285" s="31" t="s">
        <v>81</v>
      </c>
      <c r="G285" s="21" t="s">
        <v>72</v>
      </c>
      <c r="H285" s="38" t="s">
        <v>1211</v>
      </c>
      <c r="I285" s="39">
        <v>44858</v>
      </c>
      <c r="J285" s="39">
        <v>44860</v>
      </c>
      <c r="K285" s="24" t="s">
        <v>26</v>
      </c>
      <c r="L285" s="26">
        <v>0</v>
      </c>
      <c r="M285" s="87">
        <v>5</v>
      </c>
      <c r="N285" s="40">
        <v>0</v>
      </c>
      <c r="O285" s="25">
        <v>0</v>
      </c>
      <c r="P285" s="25">
        <v>0</v>
      </c>
      <c r="Q285" s="25">
        <v>193</v>
      </c>
      <c r="R285" s="25">
        <f t="shared" si="4"/>
        <v>193</v>
      </c>
      <c r="S285" s="24">
        <v>20</v>
      </c>
      <c r="T285" s="21" t="s">
        <v>82</v>
      </c>
    </row>
    <row r="286" spans="1:20" ht="23.25" customHeight="1" x14ac:dyDescent="0.25">
      <c r="A286" s="20" t="s">
        <v>1212</v>
      </c>
      <c r="B286" s="22">
        <v>2022</v>
      </c>
      <c r="C286" s="90" t="s">
        <v>21</v>
      </c>
      <c r="D286" s="22" t="s">
        <v>1213</v>
      </c>
      <c r="E286" s="27" t="s">
        <v>1214</v>
      </c>
      <c r="F286" s="29" t="s">
        <v>23</v>
      </c>
      <c r="G286" s="20" t="s">
        <v>38</v>
      </c>
      <c r="H286" s="36" t="s">
        <v>1215</v>
      </c>
      <c r="I286" s="37">
        <v>44861</v>
      </c>
      <c r="J286" s="37">
        <v>44861</v>
      </c>
      <c r="K286" s="22" t="s">
        <v>26</v>
      </c>
      <c r="L286" s="28">
        <v>0</v>
      </c>
      <c r="M286" s="86">
        <v>5</v>
      </c>
      <c r="N286" s="41">
        <v>80</v>
      </c>
      <c r="O286" s="23">
        <v>46</v>
      </c>
      <c r="P286" s="23">
        <v>0</v>
      </c>
      <c r="Q286" s="23">
        <v>0</v>
      </c>
      <c r="R286" s="23">
        <f t="shared" si="4"/>
        <v>46</v>
      </c>
      <c r="S286" s="22">
        <v>2</v>
      </c>
      <c r="T286" s="20" t="s">
        <v>1216</v>
      </c>
    </row>
    <row r="287" spans="1:20" ht="23.25" customHeight="1" x14ac:dyDescent="0.25">
      <c r="A287" s="21" t="s">
        <v>1217</v>
      </c>
      <c r="B287" s="24">
        <v>2022</v>
      </c>
      <c r="C287" s="90" t="s">
        <v>21</v>
      </c>
      <c r="D287" s="24" t="s">
        <v>1218</v>
      </c>
      <c r="E287" s="30" t="s">
        <v>1219</v>
      </c>
      <c r="F287" s="31" t="s">
        <v>81</v>
      </c>
      <c r="G287" s="21" t="s">
        <v>72</v>
      </c>
      <c r="H287" s="38" t="s">
        <v>1220</v>
      </c>
      <c r="I287" s="39">
        <v>44869</v>
      </c>
      <c r="J287" s="39">
        <v>44869</v>
      </c>
      <c r="K287" s="24" t="s">
        <v>35</v>
      </c>
      <c r="L287" s="26">
        <v>2000</v>
      </c>
      <c r="M287" s="87">
        <v>5</v>
      </c>
      <c r="N287" s="40">
        <v>20</v>
      </c>
      <c r="O287" s="25">
        <v>0</v>
      </c>
      <c r="P287" s="25">
        <v>0</v>
      </c>
      <c r="Q287" s="25">
        <v>20</v>
      </c>
      <c r="R287" s="25">
        <f t="shared" si="4"/>
        <v>20</v>
      </c>
      <c r="S287" s="24">
        <v>4</v>
      </c>
      <c r="T287" s="21" t="s">
        <v>1042</v>
      </c>
    </row>
    <row r="288" spans="1:20" ht="23.25" customHeight="1" x14ac:dyDescent="0.25">
      <c r="A288" s="20" t="s">
        <v>1221</v>
      </c>
      <c r="B288" s="22">
        <v>2022</v>
      </c>
      <c r="C288" s="90" t="s">
        <v>21</v>
      </c>
      <c r="D288" s="22"/>
      <c r="E288" s="27" t="s">
        <v>1222</v>
      </c>
      <c r="F288" s="29" t="s">
        <v>23</v>
      </c>
      <c r="G288" s="20" t="s">
        <v>199</v>
      </c>
      <c r="H288" s="36" t="s">
        <v>1220</v>
      </c>
      <c r="I288" s="37">
        <v>44869</v>
      </c>
      <c r="J288" s="37">
        <v>44869</v>
      </c>
      <c r="K288" s="22" t="s">
        <v>26</v>
      </c>
      <c r="L288" s="28">
        <v>0</v>
      </c>
      <c r="M288" s="86">
        <v>5</v>
      </c>
      <c r="N288" s="41">
        <v>0</v>
      </c>
      <c r="O288" s="23">
        <v>23</v>
      </c>
      <c r="P288" s="23">
        <v>0</v>
      </c>
      <c r="Q288" s="23">
        <v>0</v>
      </c>
      <c r="R288" s="23">
        <f t="shared" si="4"/>
        <v>23</v>
      </c>
      <c r="S288" s="22">
        <v>2</v>
      </c>
      <c r="T288" s="20"/>
    </row>
    <row r="289" spans="1:20" ht="23.25" customHeight="1" x14ac:dyDescent="0.25">
      <c r="A289" s="21" t="s">
        <v>1223</v>
      </c>
      <c r="B289" s="24">
        <v>2022</v>
      </c>
      <c r="C289" s="90" t="s">
        <v>21</v>
      </c>
      <c r="D289" s="24" t="s">
        <v>1224</v>
      </c>
      <c r="E289" s="30" t="s">
        <v>1225</v>
      </c>
      <c r="F289" s="31" t="s">
        <v>225</v>
      </c>
      <c r="G289" s="21" t="s">
        <v>72</v>
      </c>
      <c r="H289" s="38" t="s">
        <v>1226</v>
      </c>
      <c r="I289" s="39">
        <v>44872</v>
      </c>
      <c r="J289" s="39">
        <v>44881</v>
      </c>
      <c r="K289" s="24" t="s">
        <v>26</v>
      </c>
      <c r="L289" s="26">
        <v>19800</v>
      </c>
      <c r="M289" s="87">
        <v>4.7</v>
      </c>
      <c r="N289" s="40">
        <v>80</v>
      </c>
      <c r="O289" s="25">
        <v>21</v>
      </c>
      <c r="P289" s="25">
        <v>59</v>
      </c>
      <c r="Q289" s="25">
        <v>0</v>
      </c>
      <c r="R289" s="25">
        <f t="shared" si="4"/>
        <v>80</v>
      </c>
      <c r="S289" s="24">
        <v>16</v>
      </c>
      <c r="T289" s="21" t="s">
        <v>1227</v>
      </c>
    </row>
    <row r="290" spans="1:20" ht="23.25" customHeight="1" x14ac:dyDescent="0.25">
      <c r="A290" s="20" t="s">
        <v>1228</v>
      </c>
      <c r="B290" s="22">
        <v>2022</v>
      </c>
      <c r="C290" s="90" t="s">
        <v>21</v>
      </c>
      <c r="D290" s="22" t="s">
        <v>1229</v>
      </c>
      <c r="E290" s="27" t="s">
        <v>1230</v>
      </c>
      <c r="F290" s="29" t="s">
        <v>23</v>
      </c>
      <c r="G290" s="20" t="s">
        <v>199</v>
      </c>
      <c r="H290" s="36" t="s">
        <v>1231</v>
      </c>
      <c r="I290" s="37">
        <v>44873</v>
      </c>
      <c r="J290" s="37">
        <v>44901</v>
      </c>
      <c r="K290" s="22" t="s">
        <v>26</v>
      </c>
      <c r="L290" s="28">
        <v>10080</v>
      </c>
      <c r="M290" s="86">
        <v>4.5</v>
      </c>
      <c r="N290" s="41">
        <v>25</v>
      </c>
      <c r="O290" s="23">
        <v>21</v>
      </c>
      <c r="P290" s="23">
        <v>0</v>
      </c>
      <c r="Q290" s="23">
        <v>0</v>
      </c>
      <c r="R290" s="23">
        <f t="shared" si="4"/>
        <v>21</v>
      </c>
      <c r="S290" s="22">
        <v>21</v>
      </c>
      <c r="T290" s="20" t="s">
        <v>1232</v>
      </c>
    </row>
    <row r="291" spans="1:20" ht="23.25" customHeight="1" x14ac:dyDescent="0.25">
      <c r="A291" s="21" t="s">
        <v>1233</v>
      </c>
      <c r="B291" s="24">
        <v>2022</v>
      </c>
      <c r="C291" s="90" t="s">
        <v>21</v>
      </c>
      <c r="D291" s="24" t="s">
        <v>1234</v>
      </c>
      <c r="E291" s="30" t="s">
        <v>1235</v>
      </c>
      <c r="F291" s="31" t="s">
        <v>225</v>
      </c>
      <c r="G291" s="21" t="s">
        <v>68</v>
      </c>
      <c r="H291" s="38" t="s">
        <v>1236</v>
      </c>
      <c r="I291" s="39">
        <v>44873</v>
      </c>
      <c r="J291" s="39">
        <v>44883</v>
      </c>
      <c r="K291" s="24" t="s">
        <v>35</v>
      </c>
      <c r="L291" s="26">
        <v>10000</v>
      </c>
      <c r="M291" s="87">
        <v>4.5999999999999996</v>
      </c>
      <c r="N291" s="40">
        <v>40</v>
      </c>
      <c r="O291" s="25">
        <v>18</v>
      </c>
      <c r="P291" s="25">
        <v>10</v>
      </c>
      <c r="Q291" s="25">
        <v>0</v>
      </c>
      <c r="R291" s="25">
        <f t="shared" si="4"/>
        <v>28</v>
      </c>
      <c r="S291" s="24">
        <v>20</v>
      </c>
      <c r="T291" s="21" t="s">
        <v>418</v>
      </c>
    </row>
    <row r="292" spans="1:20" ht="23.25" customHeight="1" x14ac:dyDescent="0.25">
      <c r="A292" s="20" t="s">
        <v>1237</v>
      </c>
      <c r="B292" s="22">
        <v>2022</v>
      </c>
      <c r="C292" s="90" t="s">
        <v>21</v>
      </c>
      <c r="D292" s="22" t="s">
        <v>1089</v>
      </c>
      <c r="E292" s="27" t="s">
        <v>884</v>
      </c>
      <c r="F292" s="29" t="s">
        <v>81</v>
      </c>
      <c r="G292" s="20" t="s">
        <v>72</v>
      </c>
      <c r="H292" s="36" t="s">
        <v>1238</v>
      </c>
      <c r="I292" s="37">
        <v>44886</v>
      </c>
      <c r="J292" s="37">
        <v>44890</v>
      </c>
      <c r="K292" s="22" t="s">
        <v>35</v>
      </c>
      <c r="L292" s="28">
        <v>8000</v>
      </c>
      <c r="M292" s="86">
        <v>4.8</v>
      </c>
      <c r="N292" s="41">
        <v>40</v>
      </c>
      <c r="O292" s="23">
        <v>0</v>
      </c>
      <c r="P292" s="23">
        <v>0</v>
      </c>
      <c r="Q292" s="23">
        <v>35</v>
      </c>
      <c r="R292" s="23">
        <f t="shared" si="4"/>
        <v>35</v>
      </c>
      <c r="S292" s="22">
        <v>10.5</v>
      </c>
      <c r="T292" s="20" t="s">
        <v>1239</v>
      </c>
    </row>
    <row r="293" spans="1:20" ht="23.25" customHeight="1" x14ac:dyDescent="0.25">
      <c r="A293" s="21" t="s">
        <v>1240</v>
      </c>
      <c r="B293" s="24">
        <v>2022</v>
      </c>
      <c r="C293" s="90" t="s">
        <v>21</v>
      </c>
      <c r="D293" s="24" t="s">
        <v>1241</v>
      </c>
      <c r="E293" s="30" t="s">
        <v>1242</v>
      </c>
      <c r="F293" s="31" t="s">
        <v>23</v>
      </c>
      <c r="G293" s="21" t="s">
        <v>68</v>
      </c>
      <c r="H293" s="38" t="s">
        <v>1243</v>
      </c>
      <c r="I293" s="39">
        <v>44887</v>
      </c>
      <c r="J293" s="39">
        <v>44890</v>
      </c>
      <c r="K293" s="24" t="s">
        <v>35</v>
      </c>
      <c r="L293" s="26">
        <v>8000</v>
      </c>
      <c r="M293" s="87">
        <v>5</v>
      </c>
      <c r="N293" s="40">
        <v>20</v>
      </c>
      <c r="O293" s="25">
        <v>20</v>
      </c>
      <c r="P293" s="25">
        <v>0</v>
      </c>
      <c r="Q293" s="25">
        <v>0</v>
      </c>
      <c r="R293" s="25">
        <f t="shared" si="4"/>
        <v>20</v>
      </c>
      <c r="S293" s="24">
        <v>12</v>
      </c>
      <c r="T293" s="21" t="s">
        <v>549</v>
      </c>
    </row>
    <row r="294" spans="1:20" ht="23.25" customHeight="1" x14ac:dyDescent="0.25">
      <c r="A294" s="20" t="s">
        <v>1244</v>
      </c>
      <c r="B294" s="22">
        <v>2022</v>
      </c>
      <c r="C294" s="90" t="s">
        <v>21</v>
      </c>
      <c r="D294" s="22" t="s">
        <v>1245</v>
      </c>
      <c r="E294" s="27" t="s">
        <v>1246</v>
      </c>
      <c r="F294" s="29" t="s">
        <v>62</v>
      </c>
      <c r="G294" s="20" t="s">
        <v>72</v>
      </c>
      <c r="H294" s="36" t="s">
        <v>1247</v>
      </c>
      <c r="I294" s="37">
        <v>44909</v>
      </c>
      <c r="J294" s="37">
        <v>44909</v>
      </c>
      <c r="K294" s="22" t="s">
        <v>35</v>
      </c>
      <c r="L294" s="28">
        <v>0</v>
      </c>
      <c r="M294" s="86">
        <v>5</v>
      </c>
      <c r="N294" s="41">
        <v>0</v>
      </c>
      <c r="O294" s="23">
        <v>19</v>
      </c>
      <c r="P294" s="23">
        <v>169</v>
      </c>
      <c r="Q294" s="23">
        <v>0</v>
      </c>
      <c r="R294" s="23">
        <f t="shared" si="4"/>
        <v>188</v>
      </c>
      <c r="S294" s="22">
        <v>2</v>
      </c>
      <c r="T294" s="20" t="s">
        <v>1248</v>
      </c>
    </row>
    <row r="295" spans="1:20" ht="23.25" customHeight="1" x14ac:dyDescent="0.25">
      <c r="A295" s="21" t="s">
        <v>1249</v>
      </c>
      <c r="B295" s="24">
        <v>2023</v>
      </c>
      <c r="C295" s="90" t="s">
        <v>21</v>
      </c>
      <c r="D295" s="24" t="s">
        <v>1250</v>
      </c>
      <c r="E295" s="30" t="s">
        <v>1251</v>
      </c>
      <c r="F295" s="31" t="s">
        <v>23</v>
      </c>
      <c r="G295" s="21" t="s">
        <v>38</v>
      </c>
      <c r="H295" s="38" t="s">
        <v>1252</v>
      </c>
      <c r="I295" s="39">
        <v>44952</v>
      </c>
      <c r="J295" s="39">
        <v>44952</v>
      </c>
      <c r="K295" s="24" t="s">
        <v>35</v>
      </c>
      <c r="L295" s="26">
        <v>0</v>
      </c>
      <c r="M295" s="87">
        <v>5</v>
      </c>
      <c r="N295" s="40">
        <v>80</v>
      </c>
      <c r="O295" s="25">
        <v>42</v>
      </c>
      <c r="P295" s="25">
        <v>0</v>
      </c>
      <c r="Q295" s="25">
        <v>0</v>
      </c>
      <c r="R295" s="25">
        <f t="shared" si="4"/>
        <v>42</v>
      </c>
      <c r="S295" s="24">
        <v>2</v>
      </c>
      <c r="T295" s="21" t="s">
        <v>1253</v>
      </c>
    </row>
    <row r="296" spans="1:20" ht="23.25" customHeight="1" x14ac:dyDescent="0.25">
      <c r="A296" s="20" t="s">
        <v>1254</v>
      </c>
      <c r="B296" s="22">
        <v>2023</v>
      </c>
      <c r="C296" s="90" t="s">
        <v>21</v>
      </c>
      <c r="D296" s="22" t="s">
        <v>1255</v>
      </c>
      <c r="E296" s="27" t="s">
        <v>1256</v>
      </c>
      <c r="F296" s="29" t="s">
        <v>23</v>
      </c>
      <c r="G296" s="20" t="s">
        <v>199</v>
      </c>
      <c r="H296" s="36" t="s">
        <v>1257</v>
      </c>
      <c r="I296" s="37">
        <v>44964</v>
      </c>
      <c r="J296" s="37">
        <v>45013</v>
      </c>
      <c r="K296" s="22" t="s">
        <v>26</v>
      </c>
      <c r="L296" s="28">
        <v>14300</v>
      </c>
      <c r="M296" s="86">
        <v>5</v>
      </c>
      <c r="N296" s="41">
        <v>30</v>
      </c>
      <c r="O296" s="23">
        <v>31</v>
      </c>
      <c r="P296" s="23">
        <v>0</v>
      </c>
      <c r="Q296" s="23">
        <v>0</v>
      </c>
      <c r="R296" s="23">
        <f t="shared" si="4"/>
        <v>31</v>
      </c>
      <c r="S296" s="22">
        <v>26</v>
      </c>
      <c r="T296" s="20" t="s">
        <v>1258</v>
      </c>
    </row>
    <row r="297" spans="1:20" ht="23.25" customHeight="1" x14ac:dyDescent="0.25">
      <c r="A297" s="21" t="s">
        <v>1259</v>
      </c>
      <c r="B297" s="24">
        <v>2023</v>
      </c>
      <c r="C297" s="90" t="s">
        <v>21</v>
      </c>
      <c r="D297" s="24" t="s">
        <v>1260</v>
      </c>
      <c r="E297" s="30" t="s">
        <v>1261</v>
      </c>
      <c r="F297" s="31" t="s">
        <v>62</v>
      </c>
      <c r="G297" s="21" t="s">
        <v>72</v>
      </c>
      <c r="H297" s="38" t="s">
        <v>1262</v>
      </c>
      <c r="I297" s="39">
        <v>44984</v>
      </c>
      <c r="J297" s="39">
        <v>44988</v>
      </c>
      <c r="K297" s="24" t="s">
        <v>35</v>
      </c>
      <c r="L297" s="26">
        <f>21417.24/2</f>
        <v>10708.62</v>
      </c>
      <c r="M297" s="87">
        <v>4.8</v>
      </c>
      <c r="N297" s="40">
        <v>20</v>
      </c>
      <c r="O297" s="25">
        <v>2</v>
      </c>
      <c r="P297" s="25">
        <v>18</v>
      </c>
      <c r="Q297" s="25">
        <v>0</v>
      </c>
      <c r="R297" s="25">
        <f t="shared" si="4"/>
        <v>20</v>
      </c>
      <c r="S297" s="24">
        <v>20</v>
      </c>
      <c r="T297" s="21" t="s">
        <v>74</v>
      </c>
    </row>
    <row r="298" spans="1:20" ht="23.25" customHeight="1" x14ac:dyDescent="0.25">
      <c r="A298" s="20" t="s">
        <v>1263</v>
      </c>
      <c r="B298" s="22">
        <v>2023</v>
      </c>
      <c r="C298" s="90" t="s">
        <v>21</v>
      </c>
      <c r="D298" s="22"/>
      <c r="E298" s="27" t="s">
        <v>1264</v>
      </c>
      <c r="F298" s="29" t="s">
        <v>23</v>
      </c>
      <c r="G298" s="20" t="s">
        <v>199</v>
      </c>
      <c r="H298" s="36" t="s">
        <v>1265</v>
      </c>
      <c r="I298" s="37">
        <v>44985</v>
      </c>
      <c r="J298" s="37">
        <v>44985</v>
      </c>
      <c r="K298" s="22" t="s">
        <v>35</v>
      </c>
      <c r="L298" s="28">
        <v>0</v>
      </c>
      <c r="M298" s="86">
        <v>5</v>
      </c>
      <c r="N298" s="41">
        <v>0</v>
      </c>
      <c r="O298" s="23">
        <v>70</v>
      </c>
      <c r="P298" s="23">
        <v>0</v>
      </c>
      <c r="Q298" s="23">
        <v>0</v>
      </c>
      <c r="R298" s="23">
        <f t="shared" si="4"/>
        <v>70</v>
      </c>
      <c r="S298" s="22">
        <v>1.5</v>
      </c>
      <c r="T298" s="20" t="s">
        <v>1266</v>
      </c>
    </row>
    <row r="299" spans="1:20" ht="23.25" customHeight="1" x14ac:dyDescent="0.25">
      <c r="A299" s="21" t="s">
        <v>1267</v>
      </c>
      <c r="B299" s="24">
        <v>2023</v>
      </c>
      <c r="C299" s="90" t="s">
        <v>21</v>
      </c>
      <c r="D299" s="24" t="s">
        <v>1268</v>
      </c>
      <c r="E299" s="30" t="s">
        <v>1269</v>
      </c>
      <c r="F299" s="31" t="s">
        <v>23</v>
      </c>
      <c r="G299" s="21" t="s">
        <v>68</v>
      </c>
      <c r="H299" s="38" t="s">
        <v>1265</v>
      </c>
      <c r="I299" s="39">
        <v>44985</v>
      </c>
      <c r="J299" s="39">
        <v>44985</v>
      </c>
      <c r="K299" s="24" t="s">
        <v>26</v>
      </c>
      <c r="L299" s="26">
        <v>0</v>
      </c>
      <c r="M299" s="87">
        <v>5</v>
      </c>
      <c r="N299" s="40">
        <v>70</v>
      </c>
      <c r="O299" s="25">
        <v>13</v>
      </c>
      <c r="P299" s="25">
        <v>20</v>
      </c>
      <c r="Q299" s="25">
        <v>52</v>
      </c>
      <c r="R299" s="25">
        <f t="shared" si="4"/>
        <v>85</v>
      </c>
      <c r="S299" s="24">
        <v>8</v>
      </c>
      <c r="T299" s="21" t="s">
        <v>1270</v>
      </c>
    </row>
    <row r="300" spans="1:20" ht="23.25" customHeight="1" x14ac:dyDescent="0.25">
      <c r="A300" s="20" t="s">
        <v>1271</v>
      </c>
      <c r="B300" s="22">
        <v>2023</v>
      </c>
      <c r="C300" s="90" t="s">
        <v>21</v>
      </c>
      <c r="D300" s="22" t="s">
        <v>1272</v>
      </c>
      <c r="E300" s="27" t="s">
        <v>1273</v>
      </c>
      <c r="F300" s="29" t="s">
        <v>81</v>
      </c>
      <c r="G300" s="20" t="s">
        <v>72</v>
      </c>
      <c r="H300" s="36" t="s">
        <v>1274</v>
      </c>
      <c r="I300" s="37">
        <v>44988</v>
      </c>
      <c r="J300" s="37">
        <v>44988</v>
      </c>
      <c r="K300" s="22" t="s">
        <v>26</v>
      </c>
      <c r="L300" s="28">
        <v>0</v>
      </c>
      <c r="M300" s="86">
        <v>5</v>
      </c>
      <c r="N300" s="41">
        <v>0</v>
      </c>
      <c r="O300" s="23">
        <v>0</v>
      </c>
      <c r="P300" s="23">
        <v>0</v>
      </c>
      <c r="Q300" s="23">
        <v>54</v>
      </c>
      <c r="R300" s="23">
        <f t="shared" si="4"/>
        <v>54</v>
      </c>
      <c r="S300" s="22">
        <v>2</v>
      </c>
      <c r="T300" s="20" t="s">
        <v>1275</v>
      </c>
    </row>
    <row r="301" spans="1:20" ht="23.25" customHeight="1" x14ac:dyDescent="0.25">
      <c r="A301" s="21" t="s">
        <v>1276</v>
      </c>
      <c r="B301" s="24">
        <v>2023</v>
      </c>
      <c r="C301" s="90" t="s">
        <v>21</v>
      </c>
      <c r="D301" s="24" t="s">
        <v>1277</v>
      </c>
      <c r="E301" s="30" t="s">
        <v>1278</v>
      </c>
      <c r="F301" s="31" t="s">
        <v>81</v>
      </c>
      <c r="G301" s="21" t="s">
        <v>199</v>
      </c>
      <c r="H301" s="38" t="s">
        <v>1279</v>
      </c>
      <c r="I301" s="39">
        <v>44991</v>
      </c>
      <c r="J301" s="39">
        <v>44991</v>
      </c>
      <c r="K301" s="24" t="s">
        <v>26</v>
      </c>
      <c r="L301" s="26">
        <v>0</v>
      </c>
      <c r="M301" s="87">
        <v>4.5999999999999996</v>
      </c>
      <c r="N301" s="40">
        <v>170</v>
      </c>
      <c r="O301" s="25">
        <v>23</v>
      </c>
      <c r="P301" s="25">
        <v>0</v>
      </c>
      <c r="Q301" s="25">
        <v>130</v>
      </c>
      <c r="R301" s="25">
        <f t="shared" si="4"/>
        <v>153</v>
      </c>
      <c r="S301" s="24">
        <v>2</v>
      </c>
      <c r="T301" s="21" t="s">
        <v>1280</v>
      </c>
    </row>
    <row r="302" spans="1:20" ht="23.25" customHeight="1" x14ac:dyDescent="0.25">
      <c r="A302" s="20" t="s">
        <v>1281</v>
      </c>
      <c r="B302" s="22">
        <v>2023</v>
      </c>
      <c r="C302" s="90" t="s">
        <v>21</v>
      </c>
      <c r="D302" s="22" t="s">
        <v>1282</v>
      </c>
      <c r="E302" s="27" t="s">
        <v>1283</v>
      </c>
      <c r="F302" s="29" t="s">
        <v>23</v>
      </c>
      <c r="G302" s="20" t="s">
        <v>24</v>
      </c>
      <c r="H302" s="36" t="s">
        <v>1284</v>
      </c>
      <c r="I302" s="37">
        <v>44992</v>
      </c>
      <c r="J302" s="37">
        <v>45001</v>
      </c>
      <c r="K302" s="22" t="s">
        <v>35</v>
      </c>
      <c r="L302" s="28">
        <v>8566.89</v>
      </c>
      <c r="M302" s="86">
        <v>4.7</v>
      </c>
      <c r="N302" s="41">
        <v>20</v>
      </c>
      <c r="O302" s="23">
        <v>19</v>
      </c>
      <c r="P302" s="23">
        <v>0</v>
      </c>
      <c r="Q302" s="23">
        <v>0</v>
      </c>
      <c r="R302" s="23">
        <f t="shared" si="4"/>
        <v>19</v>
      </c>
      <c r="S302" s="22">
        <v>16</v>
      </c>
      <c r="T302" s="20" t="s">
        <v>549</v>
      </c>
    </row>
    <row r="303" spans="1:20" ht="23.25" customHeight="1" x14ac:dyDescent="0.25">
      <c r="A303" s="21" t="s">
        <v>1285</v>
      </c>
      <c r="B303" s="24">
        <v>2023</v>
      </c>
      <c r="C303" s="90" t="s">
        <v>21</v>
      </c>
      <c r="D303" s="24" t="s">
        <v>1286</v>
      </c>
      <c r="E303" s="30" t="s">
        <v>1287</v>
      </c>
      <c r="F303" s="31" t="s">
        <v>23</v>
      </c>
      <c r="G303" s="21" t="s">
        <v>199</v>
      </c>
      <c r="H303" s="38" t="s">
        <v>1288</v>
      </c>
      <c r="I303" s="39">
        <v>44992</v>
      </c>
      <c r="J303" s="39">
        <v>44992</v>
      </c>
      <c r="K303" s="24" t="s">
        <v>26</v>
      </c>
      <c r="L303" s="26">
        <v>3200</v>
      </c>
      <c r="M303" s="87">
        <v>5</v>
      </c>
      <c r="N303" s="40">
        <v>80</v>
      </c>
      <c r="O303" s="25">
        <v>20</v>
      </c>
      <c r="P303" s="25">
        <v>0</v>
      </c>
      <c r="Q303" s="25">
        <v>0</v>
      </c>
      <c r="R303" s="25">
        <f t="shared" si="4"/>
        <v>20</v>
      </c>
      <c r="S303" s="24">
        <v>2</v>
      </c>
      <c r="T303" s="21" t="s">
        <v>1289</v>
      </c>
    </row>
    <row r="304" spans="1:20" ht="23.25" customHeight="1" x14ac:dyDescent="0.25">
      <c r="A304" s="20" t="s">
        <v>1290</v>
      </c>
      <c r="B304" s="22">
        <v>2023</v>
      </c>
      <c r="C304" s="90" t="s">
        <v>21</v>
      </c>
      <c r="D304" s="22" t="s">
        <v>1277</v>
      </c>
      <c r="E304" s="27" t="s">
        <v>1291</v>
      </c>
      <c r="F304" s="29" t="s">
        <v>23</v>
      </c>
      <c r="G304" s="20" t="s">
        <v>199</v>
      </c>
      <c r="H304" s="36" t="s">
        <v>1292</v>
      </c>
      <c r="I304" s="37">
        <v>44994</v>
      </c>
      <c r="J304" s="37">
        <v>44994</v>
      </c>
      <c r="K304" s="22" t="s">
        <v>26</v>
      </c>
      <c r="L304" s="28">
        <v>0</v>
      </c>
      <c r="M304" s="86"/>
      <c r="N304" s="41">
        <v>80</v>
      </c>
      <c r="O304" s="23">
        <v>25</v>
      </c>
      <c r="P304" s="23"/>
      <c r="Q304" s="23"/>
      <c r="R304" s="23">
        <f t="shared" si="4"/>
        <v>25</v>
      </c>
      <c r="S304" s="22">
        <v>2</v>
      </c>
      <c r="T304" s="20" t="s">
        <v>1293</v>
      </c>
    </row>
    <row r="305" spans="1:20" ht="23.25" customHeight="1" x14ac:dyDescent="0.25">
      <c r="A305" s="21" t="s">
        <v>1294</v>
      </c>
      <c r="B305" s="24">
        <v>2023</v>
      </c>
      <c r="C305" s="90" t="s">
        <v>21</v>
      </c>
      <c r="D305" s="24" t="s">
        <v>1295</v>
      </c>
      <c r="E305" s="30" t="s">
        <v>1296</v>
      </c>
      <c r="F305" s="31" t="s">
        <v>23</v>
      </c>
      <c r="G305" s="21" t="s">
        <v>199</v>
      </c>
      <c r="H305" s="38" t="s">
        <v>1297</v>
      </c>
      <c r="I305" s="39">
        <v>44995</v>
      </c>
      <c r="J305" s="39">
        <v>44995</v>
      </c>
      <c r="K305" s="24" t="s">
        <v>26</v>
      </c>
      <c r="L305" s="26">
        <v>770</v>
      </c>
      <c r="M305" s="87">
        <v>5</v>
      </c>
      <c r="N305" s="40">
        <v>170</v>
      </c>
      <c r="O305" s="25">
        <v>70</v>
      </c>
      <c r="P305" s="25">
        <v>0</v>
      </c>
      <c r="Q305" s="25">
        <v>0</v>
      </c>
      <c r="R305" s="25">
        <f t="shared" si="4"/>
        <v>70</v>
      </c>
      <c r="S305" s="24">
        <v>2</v>
      </c>
      <c r="T305" s="21" t="s">
        <v>1298</v>
      </c>
    </row>
    <row r="306" spans="1:20" ht="23.25" customHeight="1" x14ac:dyDescent="0.25">
      <c r="A306" s="20" t="s">
        <v>1299</v>
      </c>
      <c r="B306" s="22">
        <v>2023</v>
      </c>
      <c r="C306" s="90" t="s">
        <v>21</v>
      </c>
      <c r="D306" s="22" t="s">
        <v>1300</v>
      </c>
      <c r="E306" s="27" t="s">
        <v>1301</v>
      </c>
      <c r="F306" s="29" t="s">
        <v>23</v>
      </c>
      <c r="G306" s="20" t="s">
        <v>364</v>
      </c>
      <c r="H306" s="36" t="s">
        <v>1302</v>
      </c>
      <c r="I306" s="37">
        <v>45000</v>
      </c>
      <c r="J306" s="37">
        <v>45006</v>
      </c>
      <c r="K306" s="22" t="s">
        <v>35</v>
      </c>
      <c r="L306" s="28">
        <v>0</v>
      </c>
      <c r="M306" s="86">
        <v>5</v>
      </c>
      <c r="N306" s="41">
        <v>29</v>
      </c>
      <c r="O306" s="23">
        <v>17</v>
      </c>
      <c r="P306" s="23">
        <v>0</v>
      </c>
      <c r="Q306" s="23">
        <v>0</v>
      </c>
      <c r="R306" s="23">
        <f t="shared" si="4"/>
        <v>17</v>
      </c>
      <c r="S306" s="22">
        <v>20</v>
      </c>
      <c r="T306" s="20"/>
    </row>
    <row r="307" spans="1:20" ht="23.25" customHeight="1" x14ac:dyDescent="0.25">
      <c r="A307" s="21" t="s">
        <v>1303</v>
      </c>
      <c r="B307" s="24">
        <v>2023</v>
      </c>
      <c r="C307" s="90" t="s">
        <v>21</v>
      </c>
      <c r="D307" s="24" t="s">
        <v>1304</v>
      </c>
      <c r="E307" s="30" t="s">
        <v>1305</v>
      </c>
      <c r="F307" s="31" t="s">
        <v>23</v>
      </c>
      <c r="G307" s="21" t="s">
        <v>68</v>
      </c>
      <c r="H307" s="38" t="s">
        <v>1306</v>
      </c>
      <c r="I307" s="39">
        <v>45005</v>
      </c>
      <c r="J307" s="39">
        <v>45009</v>
      </c>
      <c r="K307" s="24" t="s">
        <v>26</v>
      </c>
      <c r="L307" s="26">
        <v>14950</v>
      </c>
      <c r="M307" s="87">
        <v>4.3</v>
      </c>
      <c r="N307" s="40">
        <v>40</v>
      </c>
      <c r="O307" s="25">
        <v>18</v>
      </c>
      <c r="P307" s="25">
        <v>5</v>
      </c>
      <c r="Q307" s="25">
        <v>1</v>
      </c>
      <c r="R307" s="25">
        <f t="shared" si="4"/>
        <v>24</v>
      </c>
      <c r="S307" s="24">
        <v>20</v>
      </c>
      <c r="T307" s="21" t="s">
        <v>726</v>
      </c>
    </row>
    <row r="308" spans="1:20" ht="23.25" customHeight="1" x14ac:dyDescent="0.25">
      <c r="A308" s="20" t="s">
        <v>1307</v>
      </c>
      <c r="B308" s="22">
        <v>2023</v>
      </c>
      <c r="C308" s="90" t="s">
        <v>21</v>
      </c>
      <c r="D308" s="22" t="s">
        <v>1308</v>
      </c>
      <c r="E308" s="27" t="s">
        <v>1072</v>
      </c>
      <c r="F308" s="29" t="s">
        <v>23</v>
      </c>
      <c r="G308" s="20" t="s">
        <v>364</v>
      </c>
      <c r="H308" s="36" t="s">
        <v>1309</v>
      </c>
      <c r="I308" s="37">
        <v>45005</v>
      </c>
      <c r="J308" s="37">
        <v>45006</v>
      </c>
      <c r="K308" s="22" t="s">
        <v>35</v>
      </c>
      <c r="L308" s="28">
        <f>947.31+803.14</f>
        <v>1750.4499999999998</v>
      </c>
      <c r="M308" s="86">
        <v>4.7</v>
      </c>
      <c r="N308" s="41">
        <v>29</v>
      </c>
      <c r="O308" s="23">
        <v>17</v>
      </c>
      <c r="P308" s="23">
        <v>0</v>
      </c>
      <c r="Q308" s="23">
        <v>0</v>
      </c>
      <c r="R308" s="23">
        <f t="shared" si="4"/>
        <v>17</v>
      </c>
      <c r="S308" s="22">
        <v>6.5</v>
      </c>
      <c r="T308" s="20" t="s">
        <v>1310</v>
      </c>
    </row>
    <row r="309" spans="1:20" ht="23.25" customHeight="1" x14ac:dyDescent="0.25">
      <c r="A309" s="21" t="s">
        <v>1311</v>
      </c>
      <c r="B309" s="24">
        <v>2023</v>
      </c>
      <c r="C309" s="90" t="s">
        <v>21</v>
      </c>
      <c r="D309" s="24" t="s">
        <v>1312</v>
      </c>
      <c r="E309" s="30" t="s">
        <v>1313</v>
      </c>
      <c r="F309" s="31" t="s">
        <v>23</v>
      </c>
      <c r="G309" s="21" t="s">
        <v>364</v>
      </c>
      <c r="H309" s="38" t="s">
        <v>1314</v>
      </c>
      <c r="I309" s="39">
        <v>45007</v>
      </c>
      <c r="J309" s="39">
        <v>45008</v>
      </c>
      <c r="K309" s="24" t="s">
        <v>35</v>
      </c>
      <c r="L309" s="26">
        <v>8566.89</v>
      </c>
      <c r="M309" s="87">
        <v>4.5999999999999996</v>
      </c>
      <c r="N309" s="40">
        <v>29</v>
      </c>
      <c r="O309" s="25">
        <v>17</v>
      </c>
      <c r="P309" s="25">
        <v>0</v>
      </c>
      <c r="Q309" s="25">
        <v>0</v>
      </c>
      <c r="R309" s="25">
        <f t="shared" si="4"/>
        <v>17</v>
      </c>
      <c r="S309" s="24">
        <v>16</v>
      </c>
      <c r="T309" s="21" t="s">
        <v>549</v>
      </c>
    </row>
    <row r="310" spans="1:20" ht="23.25" customHeight="1" x14ac:dyDescent="0.25">
      <c r="A310" s="20" t="s">
        <v>1315</v>
      </c>
      <c r="B310" s="22">
        <v>2023</v>
      </c>
      <c r="C310" s="90" t="s">
        <v>21</v>
      </c>
      <c r="D310" s="22" t="s">
        <v>1316</v>
      </c>
      <c r="E310" s="35" t="s">
        <v>1317</v>
      </c>
      <c r="F310" s="29" t="s">
        <v>81</v>
      </c>
      <c r="G310" s="20" t="s">
        <v>72</v>
      </c>
      <c r="H310" s="36" t="s">
        <v>1318</v>
      </c>
      <c r="I310" s="37">
        <v>45008</v>
      </c>
      <c r="J310" s="37">
        <v>45008</v>
      </c>
      <c r="K310" s="22" t="s">
        <v>35</v>
      </c>
      <c r="L310" s="28">
        <v>300</v>
      </c>
      <c r="M310" s="86">
        <v>5</v>
      </c>
      <c r="N310" s="41">
        <v>170</v>
      </c>
      <c r="O310" s="23">
        <v>43</v>
      </c>
      <c r="P310" s="23">
        <v>1</v>
      </c>
      <c r="Q310" s="23">
        <v>1</v>
      </c>
      <c r="R310" s="23">
        <f t="shared" si="4"/>
        <v>45</v>
      </c>
      <c r="S310" s="22">
        <v>1</v>
      </c>
      <c r="T310" s="33" t="s">
        <v>145</v>
      </c>
    </row>
    <row r="311" spans="1:20" ht="23.25" customHeight="1" x14ac:dyDescent="0.25">
      <c r="A311" s="21" t="s">
        <v>1319</v>
      </c>
      <c r="B311" s="24">
        <v>2023</v>
      </c>
      <c r="C311" s="90" t="s">
        <v>21</v>
      </c>
      <c r="D311" s="24" t="s">
        <v>1320</v>
      </c>
      <c r="E311" s="34" t="s">
        <v>1321</v>
      </c>
      <c r="F311" s="31" t="s">
        <v>23</v>
      </c>
      <c r="G311" s="21" t="s">
        <v>199</v>
      </c>
      <c r="H311" s="38" t="s">
        <v>1322</v>
      </c>
      <c r="I311" s="39">
        <v>45009</v>
      </c>
      <c r="J311" s="39">
        <v>45009</v>
      </c>
      <c r="K311" s="24" t="s">
        <v>26</v>
      </c>
      <c r="L311" s="26">
        <v>0</v>
      </c>
      <c r="M311" s="87">
        <v>5</v>
      </c>
      <c r="N311" s="40">
        <v>170</v>
      </c>
      <c r="O311" s="25">
        <v>26</v>
      </c>
      <c r="P311" s="25">
        <v>0</v>
      </c>
      <c r="Q311" s="25">
        <v>0</v>
      </c>
      <c r="R311" s="25">
        <f t="shared" si="4"/>
        <v>26</v>
      </c>
      <c r="S311" s="24">
        <v>2</v>
      </c>
      <c r="T311" s="21" t="s">
        <v>1323</v>
      </c>
    </row>
    <row r="312" spans="1:20" ht="23.25" customHeight="1" x14ac:dyDescent="0.25">
      <c r="A312" s="20" t="s">
        <v>1324</v>
      </c>
      <c r="B312" s="22">
        <v>2023</v>
      </c>
      <c r="C312" s="90" t="s">
        <v>21</v>
      </c>
      <c r="D312" s="22" t="s">
        <v>1325</v>
      </c>
      <c r="E312" s="27" t="s">
        <v>1326</v>
      </c>
      <c r="F312" s="29" t="s">
        <v>23</v>
      </c>
      <c r="G312" s="20" t="s">
        <v>68</v>
      </c>
      <c r="H312" s="36" t="s">
        <v>1322</v>
      </c>
      <c r="I312" s="37">
        <v>45009</v>
      </c>
      <c r="J312" s="37">
        <v>45009</v>
      </c>
      <c r="K312" s="22" t="s">
        <v>35</v>
      </c>
      <c r="L312" s="28">
        <f>21637.93+8527.01+1894.62</f>
        <v>32059.56</v>
      </c>
      <c r="M312" s="86">
        <v>5</v>
      </c>
      <c r="N312" s="41">
        <v>17</v>
      </c>
      <c r="O312" s="23">
        <v>17</v>
      </c>
      <c r="P312" s="23">
        <v>0</v>
      </c>
      <c r="Q312" s="23">
        <v>0</v>
      </c>
      <c r="R312" s="23">
        <f t="shared" si="4"/>
        <v>17</v>
      </c>
      <c r="S312" s="22">
        <v>75</v>
      </c>
      <c r="T312" s="54" t="s">
        <v>1327</v>
      </c>
    </row>
    <row r="313" spans="1:20" ht="23.25" customHeight="1" x14ac:dyDescent="0.25">
      <c r="A313" s="21" t="s">
        <v>1328</v>
      </c>
      <c r="B313" s="24">
        <v>2023</v>
      </c>
      <c r="C313" s="90" t="s">
        <v>21</v>
      </c>
      <c r="D313" s="24" t="s">
        <v>1329</v>
      </c>
      <c r="E313" s="30" t="s">
        <v>1330</v>
      </c>
      <c r="F313" s="31" t="s">
        <v>23</v>
      </c>
      <c r="G313" s="21" t="s">
        <v>33</v>
      </c>
      <c r="H313" s="38" t="s">
        <v>1322</v>
      </c>
      <c r="I313" s="39">
        <v>45009</v>
      </c>
      <c r="J313" s="39">
        <v>45009</v>
      </c>
      <c r="K313" s="24" t="s">
        <v>26</v>
      </c>
      <c r="L313" s="26">
        <v>0</v>
      </c>
      <c r="M313" s="87">
        <v>5</v>
      </c>
      <c r="N313" s="40">
        <v>70</v>
      </c>
      <c r="O313" s="25">
        <v>30</v>
      </c>
      <c r="P313" s="25">
        <v>0</v>
      </c>
      <c r="Q313" s="25">
        <v>0</v>
      </c>
      <c r="R313" s="25">
        <f t="shared" si="4"/>
        <v>30</v>
      </c>
      <c r="S313" s="24">
        <v>2</v>
      </c>
      <c r="T313" s="21" t="s">
        <v>894</v>
      </c>
    </row>
    <row r="314" spans="1:20" ht="23.25" customHeight="1" x14ac:dyDescent="0.25">
      <c r="A314" s="20" t="s">
        <v>1331</v>
      </c>
      <c r="B314" s="22">
        <v>2023</v>
      </c>
      <c r="C314" s="90" t="s">
        <v>21</v>
      </c>
      <c r="D314" s="22" t="s">
        <v>1260</v>
      </c>
      <c r="E314" s="27" t="s">
        <v>1332</v>
      </c>
      <c r="F314" s="29" t="s">
        <v>62</v>
      </c>
      <c r="G314" s="20" t="s">
        <v>72</v>
      </c>
      <c r="H314" s="36" t="s">
        <v>1333</v>
      </c>
      <c r="I314" s="37">
        <v>45012</v>
      </c>
      <c r="J314" s="37">
        <v>45016</v>
      </c>
      <c r="K314" s="22" t="s">
        <v>35</v>
      </c>
      <c r="L314" s="28">
        <f>21417.24/2</f>
        <v>10708.62</v>
      </c>
      <c r="M314" s="86">
        <v>4.8</v>
      </c>
      <c r="N314" s="41">
        <v>20</v>
      </c>
      <c r="O314" s="23">
        <v>2</v>
      </c>
      <c r="P314" s="23">
        <v>18</v>
      </c>
      <c r="Q314" s="23">
        <v>0</v>
      </c>
      <c r="R314" s="23">
        <f t="shared" si="4"/>
        <v>20</v>
      </c>
      <c r="S314" s="22">
        <v>20</v>
      </c>
      <c r="T314" s="20" t="s">
        <v>74</v>
      </c>
    </row>
    <row r="315" spans="1:20" ht="23.25" customHeight="1" x14ac:dyDescent="0.25">
      <c r="A315" s="21" t="s">
        <v>1334</v>
      </c>
      <c r="B315" s="24">
        <v>2023</v>
      </c>
      <c r="C315" s="90" t="s">
        <v>21</v>
      </c>
      <c r="D315" s="24" t="s">
        <v>1335</v>
      </c>
      <c r="E315" s="30" t="s">
        <v>1336</v>
      </c>
      <c r="F315" s="31" t="s">
        <v>81</v>
      </c>
      <c r="G315" s="21" t="s">
        <v>72</v>
      </c>
      <c r="H315" s="38" t="s">
        <v>1337</v>
      </c>
      <c r="I315" s="39">
        <v>45015</v>
      </c>
      <c r="J315" s="39">
        <v>45015</v>
      </c>
      <c r="K315" s="24" t="s">
        <v>35</v>
      </c>
      <c r="L315" s="26">
        <v>0</v>
      </c>
      <c r="M315" s="87">
        <v>5</v>
      </c>
      <c r="N315" s="40">
        <v>60</v>
      </c>
      <c r="O315" s="25">
        <v>0</v>
      </c>
      <c r="P315" s="25">
        <v>0</v>
      </c>
      <c r="Q315" s="25">
        <v>33</v>
      </c>
      <c r="R315" s="25">
        <f t="shared" si="4"/>
        <v>33</v>
      </c>
      <c r="S315" s="24">
        <v>2</v>
      </c>
      <c r="T315" s="21" t="s">
        <v>1338</v>
      </c>
    </row>
    <row r="316" spans="1:20" ht="23.25" customHeight="1" x14ac:dyDescent="0.25">
      <c r="A316" s="20" t="s">
        <v>1339</v>
      </c>
      <c r="B316" s="22">
        <v>2023</v>
      </c>
      <c r="C316" s="90" t="s">
        <v>21</v>
      </c>
      <c r="D316" s="22" t="s">
        <v>1340</v>
      </c>
      <c r="E316" s="27" t="s">
        <v>1341</v>
      </c>
      <c r="F316" s="29" t="s">
        <v>23</v>
      </c>
      <c r="G316" s="20" t="s">
        <v>24</v>
      </c>
      <c r="H316" s="36" t="s">
        <v>1342</v>
      </c>
      <c r="I316" s="37">
        <v>45026</v>
      </c>
      <c r="J316" s="37">
        <v>45026</v>
      </c>
      <c r="K316" s="22" t="s">
        <v>26</v>
      </c>
      <c r="L316" s="28">
        <v>2159.9</v>
      </c>
      <c r="M316" s="86">
        <v>5</v>
      </c>
      <c r="N316" s="41">
        <v>17</v>
      </c>
      <c r="O316" s="23">
        <v>17</v>
      </c>
      <c r="P316" s="23">
        <v>0</v>
      </c>
      <c r="Q316" s="23">
        <v>0</v>
      </c>
      <c r="R316" s="23">
        <f t="shared" si="4"/>
        <v>17</v>
      </c>
      <c r="S316" s="22">
        <v>5</v>
      </c>
      <c r="T316" s="33" t="s">
        <v>1343</v>
      </c>
    </row>
    <row r="317" spans="1:20" ht="23.25" customHeight="1" x14ac:dyDescent="0.25">
      <c r="A317" s="21" t="s">
        <v>1344</v>
      </c>
      <c r="B317" s="24">
        <v>2023</v>
      </c>
      <c r="C317" s="90" t="s">
        <v>21</v>
      </c>
      <c r="D317" s="24" t="s">
        <v>1345</v>
      </c>
      <c r="E317" s="30" t="s">
        <v>1346</v>
      </c>
      <c r="F317" s="31" t="s">
        <v>23</v>
      </c>
      <c r="G317" s="21" t="s">
        <v>38</v>
      </c>
      <c r="H317" s="38" t="s">
        <v>1347</v>
      </c>
      <c r="I317" s="39">
        <v>45027</v>
      </c>
      <c r="J317" s="39">
        <v>45029</v>
      </c>
      <c r="K317" s="24" t="s">
        <v>26</v>
      </c>
      <c r="L317" s="26">
        <v>16253.1</v>
      </c>
      <c r="M317" s="87">
        <v>4.8</v>
      </c>
      <c r="N317" s="40">
        <v>20</v>
      </c>
      <c r="O317" s="25">
        <v>15</v>
      </c>
      <c r="P317" s="25">
        <v>0</v>
      </c>
      <c r="Q317" s="25">
        <v>0</v>
      </c>
      <c r="R317" s="25">
        <f t="shared" si="4"/>
        <v>15</v>
      </c>
      <c r="S317" s="24">
        <v>24</v>
      </c>
      <c r="T317" s="21" t="s">
        <v>1348</v>
      </c>
    </row>
    <row r="318" spans="1:20" ht="23.25" customHeight="1" x14ac:dyDescent="0.25">
      <c r="A318" s="20" t="s">
        <v>1349</v>
      </c>
      <c r="B318" s="22">
        <v>2023</v>
      </c>
      <c r="C318" s="90" t="s">
        <v>21</v>
      </c>
      <c r="D318" s="22" t="s">
        <v>1350</v>
      </c>
      <c r="E318" s="27" t="s">
        <v>1351</v>
      </c>
      <c r="F318" s="29" t="s">
        <v>81</v>
      </c>
      <c r="G318" s="20" t="s">
        <v>72</v>
      </c>
      <c r="H318" s="36" t="s">
        <v>1352</v>
      </c>
      <c r="I318" s="37">
        <v>45030</v>
      </c>
      <c r="J318" s="37">
        <v>45030</v>
      </c>
      <c r="K318" s="22" t="s">
        <v>35</v>
      </c>
      <c r="L318" s="28">
        <v>1987.08</v>
      </c>
      <c r="M318" s="86">
        <v>5</v>
      </c>
      <c r="N318" s="41">
        <v>40</v>
      </c>
      <c r="O318" s="23">
        <v>0</v>
      </c>
      <c r="P318" s="23">
        <v>0</v>
      </c>
      <c r="Q318" s="23">
        <v>19</v>
      </c>
      <c r="R318" s="23">
        <f t="shared" si="4"/>
        <v>19</v>
      </c>
      <c r="S318" s="22">
        <v>4</v>
      </c>
      <c r="T318" s="20" t="s">
        <v>418</v>
      </c>
    </row>
    <row r="319" spans="1:20" ht="23.25" customHeight="1" x14ac:dyDescent="0.25">
      <c r="A319" s="21" t="s">
        <v>1353</v>
      </c>
      <c r="B319" s="24">
        <v>2023</v>
      </c>
      <c r="C319" s="90" t="s">
        <v>21</v>
      </c>
      <c r="D319" s="24" t="s">
        <v>1354</v>
      </c>
      <c r="E319" s="30" t="s">
        <v>1355</v>
      </c>
      <c r="F319" s="31" t="s">
        <v>23</v>
      </c>
      <c r="G319" s="21" t="s">
        <v>1356</v>
      </c>
      <c r="H319" s="38" t="s">
        <v>1357</v>
      </c>
      <c r="I319" s="39">
        <v>45033</v>
      </c>
      <c r="J319" s="39">
        <v>45033</v>
      </c>
      <c r="K319" s="24" t="s">
        <v>26</v>
      </c>
      <c r="L319" s="26">
        <f>36546/2</f>
        <v>18273</v>
      </c>
      <c r="M319" s="87">
        <v>5</v>
      </c>
      <c r="N319" s="40">
        <v>0</v>
      </c>
      <c r="O319" s="25">
        <v>16</v>
      </c>
      <c r="P319" s="25">
        <v>0</v>
      </c>
      <c r="Q319" s="25">
        <v>0</v>
      </c>
      <c r="R319" s="25">
        <f t="shared" si="4"/>
        <v>16</v>
      </c>
      <c r="S319" s="24">
        <v>2</v>
      </c>
      <c r="T319" s="21" t="s">
        <v>1358</v>
      </c>
    </row>
    <row r="320" spans="1:20" ht="23.25" customHeight="1" x14ac:dyDescent="0.25">
      <c r="A320" s="20" t="s">
        <v>1359</v>
      </c>
      <c r="B320" s="22">
        <v>2023</v>
      </c>
      <c r="C320" s="90" t="s">
        <v>21</v>
      </c>
      <c r="D320" s="22" t="s">
        <v>1354</v>
      </c>
      <c r="E320" s="27" t="s">
        <v>1360</v>
      </c>
      <c r="F320" s="29" t="s">
        <v>23</v>
      </c>
      <c r="G320" s="20" t="s">
        <v>1356</v>
      </c>
      <c r="H320" s="36" t="s">
        <v>1361</v>
      </c>
      <c r="I320" s="37">
        <v>45034</v>
      </c>
      <c r="J320" s="37">
        <v>45034</v>
      </c>
      <c r="K320" s="22" t="s">
        <v>26</v>
      </c>
      <c r="L320" s="28">
        <f>36546/2</f>
        <v>18273</v>
      </c>
      <c r="M320" s="86">
        <v>5</v>
      </c>
      <c r="N320" s="41">
        <v>0</v>
      </c>
      <c r="O320" s="23">
        <v>49</v>
      </c>
      <c r="P320" s="23">
        <v>0</v>
      </c>
      <c r="Q320" s="23">
        <v>0</v>
      </c>
      <c r="R320" s="23">
        <f t="shared" si="4"/>
        <v>49</v>
      </c>
      <c r="S320" s="22">
        <v>2</v>
      </c>
      <c r="T320" s="20" t="s">
        <v>1358</v>
      </c>
    </row>
    <row r="321" spans="1:20" ht="23.25" customHeight="1" x14ac:dyDescent="0.25">
      <c r="A321" s="21" t="s">
        <v>1362</v>
      </c>
      <c r="B321" s="24">
        <v>2023</v>
      </c>
      <c r="C321" s="90" t="s">
        <v>21</v>
      </c>
      <c r="D321" s="24" t="s">
        <v>1354</v>
      </c>
      <c r="E321" s="30" t="s">
        <v>1363</v>
      </c>
      <c r="F321" s="31" t="s">
        <v>23</v>
      </c>
      <c r="G321" s="21" t="s">
        <v>1356</v>
      </c>
      <c r="H321" s="38" t="s">
        <v>1361</v>
      </c>
      <c r="I321" s="39">
        <v>45034</v>
      </c>
      <c r="J321" s="39">
        <v>45034</v>
      </c>
      <c r="K321" s="24" t="s">
        <v>26</v>
      </c>
      <c r="L321" s="26">
        <v>21104</v>
      </c>
      <c r="M321" s="87">
        <v>5</v>
      </c>
      <c r="N321" s="40">
        <v>0</v>
      </c>
      <c r="O321" s="25">
        <f>55+71</f>
        <v>126</v>
      </c>
      <c r="P321" s="25">
        <v>0</v>
      </c>
      <c r="Q321" s="25">
        <v>0</v>
      </c>
      <c r="R321" s="25">
        <f t="shared" si="4"/>
        <v>126</v>
      </c>
      <c r="S321" s="24">
        <v>2</v>
      </c>
      <c r="T321" s="21" t="s">
        <v>1358</v>
      </c>
    </row>
    <row r="322" spans="1:20" ht="23.25" customHeight="1" x14ac:dyDescent="0.25">
      <c r="A322" s="20" t="s">
        <v>1364</v>
      </c>
      <c r="B322" s="22">
        <v>2023</v>
      </c>
      <c r="C322" s="90" t="s">
        <v>21</v>
      </c>
      <c r="D322" s="22" t="s">
        <v>1365</v>
      </c>
      <c r="E322" s="27" t="s">
        <v>1366</v>
      </c>
      <c r="F322" s="29" t="s">
        <v>81</v>
      </c>
      <c r="G322" s="20" t="s">
        <v>72</v>
      </c>
      <c r="H322" s="36" t="s">
        <v>1361</v>
      </c>
      <c r="I322" s="37">
        <v>45034</v>
      </c>
      <c r="J322" s="37">
        <v>45034</v>
      </c>
      <c r="K322" s="22" t="s">
        <v>35</v>
      </c>
      <c r="L322" s="28">
        <v>496.77</v>
      </c>
      <c r="M322" s="86">
        <v>5</v>
      </c>
      <c r="N322" s="41">
        <v>70</v>
      </c>
      <c r="O322" s="23">
        <v>0</v>
      </c>
      <c r="P322" s="23">
        <v>0</v>
      </c>
      <c r="Q322" s="23">
        <v>40</v>
      </c>
      <c r="R322" s="23">
        <f t="shared" ref="R322:R385" si="5">SUM(O322:Q322)</f>
        <v>40</v>
      </c>
      <c r="S322" s="22">
        <v>1</v>
      </c>
      <c r="T322" s="20" t="s">
        <v>1367</v>
      </c>
    </row>
    <row r="323" spans="1:20" ht="23.25" customHeight="1" x14ac:dyDescent="0.25">
      <c r="A323" s="21" t="s">
        <v>1368</v>
      </c>
      <c r="B323" s="24">
        <v>2023</v>
      </c>
      <c r="C323" s="90" t="s">
        <v>21</v>
      </c>
      <c r="D323" s="24" t="s">
        <v>1365</v>
      </c>
      <c r="E323" s="30" t="s">
        <v>1369</v>
      </c>
      <c r="F323" s="31" t="s">
        <v>81</v>
      </c>
      <c r="G323" s="21" t="s">
        <v>72</v>
      </c>
      <c r="H323" s="38" t="s">
        <v>1361</v>
      </c>
      <c r="I323" s="39">
        <v>45034</v>
      </c>
      <c r="J323" s="39">
        <v>45034</v>
      </c>
      <c r="K323" s="24" t="s">
        <v>35</v>
      </c>
      <c r="L323" s="26">
        <v>496.77</v>
      </c>
      <c r="M323" s="87">
        <v>5</v>
      </c>
      <c r="N323" s="40">
        <v>70</v>
      </c>
      <c r="O323" s="25">
        <v>0</v>
      </c>
      <c r="P323" s="25">
        <v>0</v>
      </c>
      <c r="Q323" s="25">
        <v>40</v>
      </c>
      <c r="R323" s="25">
        <f t="shared" si="5"/>
        <v>40</v>
      </c>
      <c r="S323" s="24">
        <v>1</v>
      </c>
      <c r="T323" s="21" t="s">
        <v>1367</v>
      </c>
    </row>
    <row r="324" spans="1:20" ht="23.25" customHeight="1" x14ac:dyDescent="0.25">
      <c r="A324" s="20" t="s">
        <v>1370</v>
      </c>
      <c r="B324" s="22">
        <v>2023</v>
      </c>
      <c r="C324" s="90" t="s">
        <v>21</v>
      </c>
      <c r="D324" s="22" t="s">
        <v>1365</v>
      </c>
      <c r="E324" s="27" t="s">
        <v>1371</v>
      </c>
      <c r="F324" s="29" t="s">
        <v>81</v>
      </c>
      <c r="G324" s="20" t="s">
        <v>72</v>
      </c>
      <c r="H324" s="36" t="s">
        <v>1372</v>
      </c>
      <c r="I324" s="37">
        <v>45035</v>
      </c>
      <c r="J324" s="37">
        <v>45035</v>
      </c>
      <c r="K324" s="22" t="s">
        <v>35</v>
      </c>
      <c r="L324" s="28">
        <v>496.77</v>
      </c>
      <c r="M324" s="86">
        <v>5</v>
      </c>
      <c r="N324" s="41">
        <v>70</v>
      </c>
      <c r="O324" s="23">
        <v>0</v>
      </c>
      <c r="P324" s="23">
        <v>0</v>
      </c>
      <c r="Q324" s="23">
        <v>60</v>
      </c>
      <c r="R324" s="23">
        <f t="shared" si="5"/>
        <v>60</v>
      </c>
      <c r="S324" s="22">
        <v>1</v>
      </c>
      <c r="T324" s="20" t="s">
        <v>1367</v>
      </c>
    </row>
    <row r="325" spans="1:20" ht="23.25" customHeight="1" x14ac:dyDescent="0.25">
      <c r="A325" s="21" t="s">
        <v>1373</v>
      </c>
      <c r="B325" s="24">
        <v>2023</v>
      </c>
      <c r="C325" s="90" t="s">
        <v>21</v>
      </c>
      <c r="D325" s="24" t="s">
        <v>1365</v>
      </c>
      <c r="E325" s="30" t="s">
        <v>1374</v>
      </c>
      <c r="F325" s="31" t="s">
        <v>81</v>
      </c>
      <c r="G325" s="21" t="s">
        <v>72</v>
      </c>
      <c r="H325" s="38" t="s">
        <v>1372</v>
      </c>
      <c r="I325" s="39">
        <v>45035</v>
      </c>
      <c r="J325" s="39">
        <v>45035</v>
      </c>
      <c r="K325" s="24" t="s">
        <v>35</v>
      </c>
      <c r="L325" s="26">
        <v>496.77</v>
      </c>
      <c r="M325" s="87">
        <v>5</v>
      </c>
      <c r="N325" s="40">
        <v>70</v>
      </c>
      <c r="O325" s="25">
        <v>0</v>
      </c>
      <c r="P325" s="25">
        <v>0</v>
      </c>
      <c r="Q325" s="25">
        <v>30</v>
      </c>
      <c r="R325" s="25">
        <f t="shared" si="5"/>
        <v>30</v>
      </c>
      <c r="S325" s="24">
        <v>1</v>
      </c>
      <c r="T325" s="21" t="s">
        <v>1367</v>
      </c>
    </row>
    <row r="326" spans="1:20" ht="23.25" customHeight="1" x14ac:dyDescent="0.25">
      <c r="A326" s="20" t="s">
        <v>1375</v>
      </c>
      <c r="B326" s="22">
        <v>2023</v>
      </c>
      <c r="C326" s="90" t="s">
        <v>21</v>
      </c>
      <c r="D326" s="22" t="s">
        <v>1376</v>
      </c>
      <c r="E326" s="27" t="s">
        <v>1377</v>
      </c>
      <c r="F326" s="29" t="s">
        <v>23</v>
      </c>
      <c r="G326" s="20" t="s">
        <v>457</v>
      </c>
      <c r="H326" s="36" t="s">
        <v>1378</v>
      </c>
      <c r="I326" s="37">
        <v>45036</v>
      </c>
      <c r="J326" s="37">
        <v>45058</v>
      </c>
      <c r="K326" s="22" t="s">
        <v>26</v>
      </c>
      <c r="L326" s="28">
        <v>27000</v>
      </c>
      <c r="M326" s="86">
        <v>4.46</v>
      </c>
      <c r="N326" s="41">
        <v>20</v>
      </c>
      <c r="O326" s="23">
        <v>21</v>
      </c>
      <c r="P326" s="23">
        <v>0</v>
      </c>
      <c r="Q326" s="23">
        <v>0</v>
      </c>
      <c r="R326" s="23">
        <f t="shared" si="5"/>
        <v>21</v>
      </c>
      <c r="S326" s="22">
        <v>30</v>
      </c>
      <c r="T326" s="20" t="s">
        <v>966</v>
      </c>
    </row>
    <row r="327" spans="1:20" ht="23.25" customHeight="1" x14ac:dyDescent="0.25">
      <c r="A327" s="21" t="s">
        <v>1379</v>
      </c>
      <c r="B327" s="24">
        <v>2023</v>
      </c>
      <c r="C327" s="90" t="s">
        <v>21</v>
      </c>
      <c r="D327" s="24" t="s">
        <v>1260</v>
      </c>
      <c r="E327" s="30" t="s">
        <v>1380</v>
      </c>
      <c r="F327" s="31" t="s">
        <v>62</v>
      </c>
      <c r="G327" s="21" t="s">
        <v>72</v>
      </c>
      <c r="H327" s="38" t="s">
        <v>1381</v>
      </c>
      <c r="I327" s="39">
        <v>45040</v>
      </c>
      <c r="J327" s="39">
        <v>45044</v>
      </c>
      <c r="K327" s="24" t="s">
        <v>35</v>
      </c>
      <c r="L327" s="26">
        <v>11231.48</v>
      </c>
      <c r="M327" s="87">
        <v>4.7</v>
      </c>
      <c r="N327" s="40">
        <v>20</v>
      </c>
      <c r="O327" s="25">
        <v>0</v>
      </c>
      <c r="P327" s="25">
        <v>20</v>
      </c>
      <c r="Q327" s="25">
        <v>0</v>
      </c>
      <c r="R327" s="25">
        <f t="shared" si="5"/>
        <v>20</v>
      </c>
      <c r="S327" s="24">
        <v>20</v>
      </c>
      <c r="T327" s="21" t="s">
        <v>74</v>
      </c>
    </row>
    <row r="328" spans="1:20" ht="23.25" customHeight="1" x14ac:dyDescent="0.25">
      <c r="A328" s="20" t="s">
        <v>1382</v>
      </c>
      <c r="B328" s="22">
        <v>2023</v>
      </c>
      <c r="C328" s="90" t="s">
        <v>21</v>
      </c>
      <c r="D328" s="22" t="s">
        <v>1383</v>
      </c>
      <c r="E328" s="27" t="s">
        <v>1384</v>
      </c>
      <c r="F328" s="29" t="s">
        <v>81</v>
      </c>
      <c r="G328" s="20" t="s">
        <v>72</v>
      </c>
      <c r="H328" s="36" t="s">
        <v>1385</v>
      </c>
      <c r="I328" s="37">
        <v>45041</v>
      </c>
      <c r="J328" s="37">
        <v>45043</v>
      </c>
      <c r="K328" s="22" t="s">
        <v>35</v>
      </c>
      <c r="L328" s="28">
        <v>3763.24</v>
      </c>
      <c r="M328" s="86">
        <v>5</v>
      </c>
      <c r="N328" s="41">
        <v>40</v>
      </c>
      <c r="O328" s="23">
        <v>1</v>
      </c>
      <c r="P328" s="23">
        <v>0</v>
      </c>
      <c r="Q328" s="23">
        <v>39</v>
      </c>
      <c r="R328" s="23">
        <f t="shared" si="5"/>
        <v>40</v>
      </c>
      <c r="S328" s="22">
        <v>9</v>
      </c>
      <c r="T328" s="54" t="s">
        <v>1386</v>
      </c>
    </row>
    <row r="329" spans="1:20" ht="23.25" customHeight="1" x14ac:dyDescent="0.25">
      <c r="A329" s="21" t="s">
        <v>1387</v>
      </c>
      <c r="B329" s="24">
        <v>2023</v>
      </c>
      <c r="C329" s="90" t="s">
        <v>21</v>
      </c>
      <c r="D329" s="24" t="s">
        <v>1388</v>
      </c>
      <c r="E329" s="30" t="s">
        <v>1389</v>
      </c>
      <c r="F329" s="31" t="s">
        <v>62</v>
      </c>
      <c r="G329" s="21" t="s">
        <v>72</v>
      </c>
      <c r="H329" s="38" t="s">
        <v>1390</v>
      </c>
      <c r="I329" s="39">
        <v>45042</v>
      </c>
      <c r="J329" s="39">
        <v>45043</v>
      </c>
      <c r="K329" s="24" t="s">
        <v>26</v>
      </c>
      <c r="L329" s="26">
        <v>19800</v>
      </c>
      <c r="M329" s="87">
        <v>4.5</v>
      </c>
      <c r="N329" s="40">
        <v>80</v>
      </c>
      <c r="O329" s="25">
        <v>5</v>
      </c>
      <c r="P329" s="25">
        <v>75</v>
      </c>
      <c r="Q329" s="25">
        <v>0</v>
      </c>
      <c r="R329" s="25">
        <f t="shared" si="5"/>
        <v>80</v>
      </c>
      <c r="S329" s="24">
        <v>8</v>
      </c>
      <c r="T329" s="21" t="s">
        <v>1391</v>
      </c>
    </row>
    <row r="330" spans="1:20" ht="23.25" customHeight="1" x14ac:dyDescent="0.25">
      <c r="A330" s="20" t="s">
        <v>1392</v>
      </c>
      <c r="B330" s="22">
        <v>2023</v>
      </c>
      <c r="C330" s="90" t="s">
        <v>21</v>
      </c>
      <c r="D330" s="22" t="s">
        <v>1393</v>
      </c>
      <c r="E330" s="27" t="s">
        <v>1394</v>
      </c>
      <c r="F330" s="29" t="s">
        <v>23</v>
      </c>
      <c r="G330" s="20" t="s">
        <v>24</v>
      </c>
      <c r="H330" s="36" t="s">
        <v>1395</v>
      </c>
      <c r="I330" s="37">
        <v>45048</v>
      </c>
      <c r="J330" s="37">
        <v>45057</v>
      </c>
      <c r="K330" s="22" t="s">
        <v>35</v>
      </c>
      <c r="L330" s="28">
        <v>8985.18</v>
      </c>
      <c r="M330" s="86">
        <v>4.5999999999999996</v>
      </c>
      <c r="N330" s="41">
        <v>20</v>
      </c>
      <c r="O330" s="23">
        <v>26</v>
      </c>
      <c r="P330" s="23">
        <v>0</v>
      </c>
      <c r="Q330" s="23">
        <v>0</v>
      </c>
      <c r="R330" s="23">
        <f t="shared" si="5"/>
        <v>26</v>
      </c>
      <c r="S330" s="22">
        <v>16</v>
      </c>
      <c r="T330" s="20" t="s">
        <v>549</v>
      </c>
    </row>
    <row r="331" spans="1:20" ht="23.25" customHeight="1" x14ac:dyDescent="0.25">
      <c r="A331" s="21" t="s">
        <v>1396</v>
      </c>
      <c r="B331" s="24">
        <v>2023</v>
      </c>
      <c r="C331" s="90" t="s">
        <v>21</v>
      </c>
      <c r="D331" s="24" t="s">
        <v>1397</v>
      </c>
      <c r="E331" s="30" t="s">
        <v>1398</v>
      </c>
      <c r="F331" s="31" t="s">
        <v>23</v>
      </c>
      <c r="G331" s="21" t="s">
        <v>33</v>
      </c>
      <c r="H331" s="38" t="s">
        <v>1399</v>
      </c>
      <c r="I331" s="39">
        <v>45057</v>
      </c>
      <c r="J331" s="39">
        <v>45091</v>
      </c>
      <c r="K331" s="24" t="s">
        <v>26</v>
      </c>
      <c r="L331" s="26">
        <v>41328</v>
      </c>
      <c r="M331" s="87">
        <v>5</v>
      </c>
      <c r="N331" s="40">
        <v>14</v>
      </c>
      <c r="O331" s="25">
        <v>15</v>
      </c>
      <c r="P331" s="25">
        <v>0</v>
      </c>
      <c r="Q331" s="25">
        <v>0</v>
      </c>
      <c r="R331" s="25">
        <f t="shared" si="5"/>
        <v>15</v>
      </c>
      <c r="S331" s="24">
        <v>16</v>
      </c>
      <c r="T331" s="21" t="s">
        <v>1400</v>
      </c>
    </row>
    <row r="332" spans="1:20" ht="23.25" customHeight="1" x14ac:dyDescent="0.25">
      <c r="A332" s="20" t="s">
        <v>1401</v>
      </c>
      <c r="B332" s="22">
        <v>2023</v>
      </c>
      <c r="C332" s="90" t="s">
        <v>21</v>
      </c>
      <c r="D332" s="22" t="s">
        <v>1354</v>
      </c>
      <c r="E332" s="27" t="s">
        <v>1402</v>
      </c>
      <c r="F332" s="29" t="s">
        <v>23</v>
      </c>
      <c r="G332" s="20" t="s">
        <v>1356</v>
      </c>
      <c r="H332" s="36" t="s">
        <v>1403</v>
      </c>
      <c r="I332" s="37">
        <v>45061</v>
      </c>
      <c r="J332" s="37">
        <v>45121</v>
      </c>
      <c r="K332" s="22" t="s">
        <v>26</v>
      </c>
      <c r="L332" s="28">
        <v>50440</v>
      </c>
      <c r="M332" s="86">
        <v>4.5</v>
      </c>
      <c r="N332" s="41">
        <v>20</v>
      </c>
      <c r="O332" s="23">
        <v>23</v>
      </c>
      <c r="P332" s="23">
        <v>0</v>
      </c>
      <c r="Q332" s="23">
        <v>0</v>
      </c>
      <c r="R332" s="23">
        <f t="shared" si="5"/>
        <v>23</v>
      </c>
      <c r="S332" s="22">
        <v>46</v>
      </c>
      <c r="T332" s="20" t="s">
        <v>1404</v>
      </c>
    </row>
    <row r="333" spans="1:20" ht="23.25" customHeight="1" x14ac:dyDescent="0.25">
      <c r="A333" s="21" t="s">
        <v>1405</v>
      </c>
      <c r="B333" s="24">
        <v>2023</v>
      </c>
      <c r="C333" s="90" t="s">
        <v>21</v>
      </c>
      <c r="D333" s="24" t="s">
        <v>1406</v>
      </c>
      <c r="E333" s="30" t="s">
        <v>1407</v>
      </c>
      <c r="F333" s="31" t="s">
        <v>23</v>
      </c>
      <c r="G333" s="21" t="s">
        <v>38</v>
      </c>
      <c r="H333" s="38" t="s">
        <v>1408</v>
      </c>
      <c r="I333" s="39">
        <v>45071</v>
      </c>
      <c r="J333" s="39">
        <v>45071</v>
      </c>
      <c r="K333" s="24" t="s">
        <v>35</v>
      </c>
      <c r="L333" s="26">
        <v>0</v>
      </c>
      <c r="M333" s="87">
        <v>4.7699999999999996</v>
      </c>
      <c r="N333" s="40">
        <v>0</v>
      </c>
      <c r="O333" s="25">
        <v>207</v>
      </c>
      <c r="P333" s="25">
        <v>0</v>
      </c>
      <c r="Q333" s="25">
        <v>0</v>
      </c>
      <c r="R333" s="25">
        <f t="shared" si="5"/>
        <v>207</v>
      </c>
      <c r="S333" s="24">
        <v>1.5</v>
      </c>
      <c r="T333" s="21" t="s">
        <v>1409</v>
      </c>
    </row>
    <row r="334" spans="1:20" ht="23.25" customHeight="1" x14ac:dyDescent="0.25">
      <c r="A334" s="20" t="s">
        <v>1410</v>
      </c>
      <c r="B334" s="22">
        <v>2023</v>
      </c>
      <c r="C334" s="90" t="s">
        <v>21</v>
      </c>
      <c r="D334" s="22" t="s">
        <v>1376</v>
      </c>
      <c r="E334" s="27" t="s">
        <v>1411</v>
      </c>
      <c r="F334" s="29" t="s">
        <v>23</v>
      </c>
      <c r="G334" s="20" t="s">
        <v>457</v>
      </c>
      <c r="H334" s="36" t="s">
        <v>1412</v>
      </c>
      <c r="I334" s="37">
        <v>45089</v>
      </c>
      <c r="J334" s="37">
        <v>45107</v>
      </c>
      <c r="K334" s="22" t="s">
        <v>26</v>
      </c>
      <c r="L334" s="28">
        <v>27000</v>
      </c>
      <c r="M334" s="86">
        <v>4.5</v>
      </c>
      <c r="N334" s="41">
        <v>20</v>
      </c>
      <c r="O334" s="23">
        <v>13</v>
      </c>
      <c r="P334" s="23">
        <v>0</v>
      </c>
      <c r="Q334" s="23">
        <v>0</v>
      </c>
      <c r="R334" s="23">
        <f t="shared" si="5"/>
        <v>13</v>
      </c>
      <c r="S334" s="22">
        <v>30</v>
      </c>
      <c r="T334" s="20" t="s">
        <v>966</v>
      </c>
    </row>
    <row r="335" spans="1:20" ht="23.25" customHeight="1" x14ac:dyDescent="0.25">
      <c r="A335" s="21" t="s">
        <v>1413</v>
      </c>
      <c r="B335" s="24">
        <v>2023</v>
      </c>
      <c r="C335" s="90" t="s">
        <v>21</v>
      </c>
      <c r="D335" s="24" t="s">
        <v>1414</v>
      </c>
      <c r="E335" s="30" t="s">
        <v>1415</v>
      </c>
      <c r="F335" s="31" t="s">
        <v>23</v>
      </c>
      <c r="G335" s="21" t="s">
        <v>68</v>
      </c>
      <c r="H335" s="38" t="s">
        <v>1416</v>
      </c>
      <c r="I335" s="39">
        <v>45092</v>
      </c>
      <c r="J335" s="39">
        <v>45093</v>
      </c>
      <c r="K335" s="24" t="s">
        <v>26</v>
      </c>
      <c r="L335" s="26">
        <v>0</v>
      </c>
      <c r="M335" s="87">
        <v>4.8</v>
      </c>
      <c r="N335" s="40">
        <v>0</v>
      </c>
      <c r="O335" s="25">
        <v>38</v>
      </c>
      <c r="P335" s="25">
        <v>146</v>
      </c>
      <c r="Q335" s="25">
        <v>0</v>
      </c>
      <c r="R335" s="25">
        <f t="shared" si="5"/>
        <v>184</v>
      </c>
      <c r="S335" s="24">
        <v>10</v>
      </c>
      <c r="T335" s="21" t="s">
        <v>1417</v>
      </c>
    </row>
    <row r="336" spans="1:20" ht="23.25" customHeight="1" x14ac:dyDescent="0.25">
      <c r="A336" s="20" t="s">
        <v>1418</v>
      </c>
      <c r="B336" s="22">
        <v>2023</v>
      </c>
      <c r="C336" s="90" t="s">
        <v>21</v>
      </c>
      <c r="D336" s="22" t="s">
        <v>1419</v>
      </c>
      <c r="E336" s="35" t="s">
        <v>1420</v>
      </c>
      <c r="F336" s="29" t="s">
        <v>62</v>
      </c>
      <c r="G336" s="20" t="s">
        <v>72</v>
      </c>
      <c r="H336" s="36" t="s">
        <v>1421</v>
      </c>
      <c r="I336" s="37">
        <v>45096</v>
      </c>
      <c r="J336" s="37">
        <v>45100</v>
      </c>
      <c r="K336" s="22" t="s">
        <v>35</v>
      </c>
      <c r="L336" s="28">
        <v>3700.17</v>
      </c>
      <c r="M336" s="86">
        <v>4.5</v>
      </c>
      <c r="N336" s="41">
        <v>30</v>
      </c>
      <c r="O336" s="23">
        <v>9</v>
      </c>
      <c r="P336" s="23">
        <v>37</v>
      </c>
      <c r="Q336" s="23">
        <v>0</v>
      </c>
      <c r="R336" s="23">
        <f t="shared" si="5"/>
        <v>46</v>
      </c>
      <c r="S336" s="22">
        <v>20</v>
      </c>
      <c r="T336" s="20" t="s">
        <v>1422</v>
      </c>
    </row>
    <row r="337" spans="1:20" ht="23.25" customHeight="1" x14ac:dyDescent="0.25">
      <c r="A337" s="21" t="s">
        <v>1423</v>
      </c>
      <c r="B337" s="24">
        <v>2023</v>
      </c>
      <c r="C337" s="90" t="s">
        <v>21</v>
      </c>
      <c r="D337" s="24" t="s">
        <v>1414</v>
      </c>
      <c r="E337" s="30" t="s">
        <v>1424</v>
      </c>
      <c r="F337" s="31" t="s">
        <v>23</v>
      </c>
      <c r="G337" s="21" t="s">
        <v>68</v>
      </c>
      <c r="H337" s="38" t="s">
        <v>1425</v>
      </c>
      <c r="I337" s="39">
        <v>45097</v>
      </c>
      <c r="J337" s="39">
        <v>45097</v>
      </c>
      <c r="K337" s="24" t="s">
        <v>26</v>
      </c>
      <c r="L337" s="26">
        <v>0</v>
      </c>
      <c r="M337" s="87">
        <v>4.9000000000000004</v>
      </c>
      <c r="N337" s="40">
        <v>0</v>
      </c>
      <c r="O337" s="25">
        <v>44</v>
      </c>
      <c r="P337" s="25">
        <v>0</v>
      </c>
      <c r="Q337" s="25">
        <v>16</v>
      </c>
      <c r="R337" s="25">
        <f t="shared" si="5"/>
        <v>60</v>
      </c>
      <c r="S337" s="24">
        <v>2</v>
      </c>
      <c r="T337" s="21" t="s">
        <v>1426</v>
      </c>
    </row>
    <row r="338" spans="1:20" ht="23.25" customHeight="1" x14ac:dyDescent="0.25">
      <c r="A338" s="20" t="s">
        <v>1427</v>
      </c>
      <c r="B338" s="22">
        <v>2023</v>
      </c>
      <c r="C338" s="90" t="s">
        <v>21</v>
      </c>
      <c r="D338" s="22" t="s">
        <v>1428</v>
      </c>
      <c r="E338" s="27" t="s">
        <v>1429</v>
      </c>
      <c r="F338" s="29" t="s">
        <v>81</v>
      </c>
      <c r="G338" s="20" t="s">
        <v>72</v>
      </c>
      <c r="H338" s="36" t="s">
        <v>1430</v>
      </c>
      <c r="I338" s="37">
        <v>45103</v>
      </c>
      <c r="J338" s="37">
        <v>45107</v>
      </c>
      <c r="K338" s="22" t="s">
        <v>35</v>
      </c>
      <c r="L338" s="28">
        <v>9935.3799999999992</v>
      </c>
      <c r="M338" s="86">
        <v>4.9000000000000004</v>
      </c>
      <c r="N338" s="41">
        <v>40</v>
      </c>
      <c r="O338" s="23">
        <v>3</v>
      </c>
      <c r="P338" s="23">
        <v>0</v>
      </c>
      <c r="Q338" s="23">
        <v>45</v>
      </c>
      <c r="R338" s="23">
        <f t="shared" si="5"/>
        <v>48</v>
      </c>
      <c r="S338" s="22">
        <v>20</v>
      </c>
      <c r="T338" s="20" t="s">
        <v>418</v>
      </c>
    </row>
    <row r="339" spans="1:20" ht="23.25" customHeight="1" x14ac:dyDescent="0.25">
      <c r="A339" s="21" t="s">
        <v>1431</v>
      </c>
      <c r="B339" s="24">
        <v>2023</v>
      </c>
      <c r="C339" s="90" t="s">
        <v>21</v>
      </c>
      <c r="D339" s="24" t="s">
        <v>1432</v>
      </c>
      <c r="E339" s="30" t="s">
        <v>1433</v>
      </c>
      <c r="F339" s="31" t="s">
        <v>81</v>
      </c>
      <c r="G339" s="21" t="s">
        <v>72</v>
      </c>
      <c r="H339" s="38" t="s">
        <v>1434</v>
      </c>
      <c r="I339" s="39">
        <v>45103</v>
      </c>
      <c r="J339" s="39">
        <v>45103</v>
      </c>
      <c r="K339" s="24" t="s">
        <v>35</v>
      </c>
      <c r="L339" s="26">
        <v>0</v>
      </c>
      <c r="M339" s="87"/>
      <c r="N339" s="40"/>
      <c r="O339" s="25"/>
      <c r="P339" s="25"/>
      <c r="Q339" s="25">
        <v>40</v>
      </c>
      <c r="R339" s="25">
        <f t="shared" si="5"/>
        <v>40</v>
      </c>
      <c r="S339" s="24">
        <v>2</v>
      </c>
      <c r="T339" s="21" t="s">
        <v>1023</v>
      </c>
    </row>
    <row r="340" spans="1:20" ht="23.25" customHeight="1" x14ac:dyDescent="0.25">
      <c r="A340" s="20" t="s">
        <v>1435</v>
      </c>
      <c r="B340" s="22">
        <v>2023</v>
      </c>
      <c r="C340" s="90" t="s">
        <v>21</v>
      </c>
      <c r="D340" s="22" t="s">
        <v>1436</v>
      </c>
      <c r="E340" s="27" t="s">
        <v>1437</v>
      </c>
      <c r="F340" s="29" t="s">
        <v>23</v>
      </c>
      <c r="G340" s="20" t="s">
        <v>38</v>
      </c>
      <c r="H340" s="36" t="s">
        <v>1438</v>
      </c>
      <c r="I340" s="37">
        <v>45104</v>
      </c>
      <c r="J340" s="37">
        <v>45104</v>
      </c>
      <c r="K340" s="22" t="s">
        <v>26</v>
      </c>
      <c r="L340" s="28">
        <v>0</v>
      </c>
      <c r="M340" s="86"/>
      <c r="N340" s="41"/>
      <c r="O340" s="23">
        <v>150</v>
      </c>
      <c r="P340" s="23">
        <v>0</v>
      </c>
      <c r="Q340" s="23">
        <v>0</v>
      </c>
      <c r="R340" s="23">
        <f t="shared" si="5"/>
        <v>150</v>
      </c>
      <c r="S340" s="22">
        <v>2</v>
      </c>
      <c r="T340" s="20" t="s">
        <v>1439</v>
      </c>
    </row>
    <row r="341" spans="1:20" ht="23.25" customHeight="1" x14ac:dyDescent="0.25">
      <c r="A341" s="21" t="s">
        <v>1440</v>
      </c>
      <c r="B341" s="24">
        <v>2023</v>
      </c>
      <c r="C341" s="90" t="s">
        <v>21</v>
      </c>
      <c r="D341" s="24" t="s">
        <v>1441</v>
      </c>
      <c r="E341" s="34" t="s">
        <v>1442</v>
      </c>
      <c r="F341" s="31" t="s">
        <v>23</v>
      </c>
      <c r="G341" s="21" t="s">
        <v>38</v>
      </c>
      <c r="H341" s="24" t="s">
        <v>1443</v>
      </c>
      <c r="I341" s="39">
        <v>45110</v>
      </c>
      <c r="J341" s="39">
        <v>45111</v>
      </c>
      <c r="K341" s="24" t="s">
        <v>35</v>
      </c>
      <c r="L341" s="26">
        <v>3477.38</v>
      </c>
      <c r="M341" s="87">
        <v>4.5999999999999996</v>
      </c>
      <c r="N341" s="40">
        <v>20</v>
      </c>
      <c r="O341" s="25">
        <v>20</v>
      </c>
      <c r="P341" s="25">
        <v>0</v>
      </c>
      <c r="Q341" s="25">
        <v>0</v>
      </c>
      <c r="R341" s="25">
        <f t="shared" si="5"/>
        <v>20</v>
      </c>
      <c r="S341" s="24">
        <v>7</v>
      </c>
      <c r="T341" s="21" t="s">
        <v>1055</v>
      </c>
    </row>
    <row r="342" spans="1:20" ht="23.25" customHeight="1" x14ac:dyDescent="0.25">
      <c r="A342" s="20" t="s">
        <v>1444</v>
      </c>
      <c r="B342" s="22">
        <v>2023</v>
      </c>
      <c r="C342" s="90" t="s">
        <v>21</v>
      </c>
      <c r="D342" s="22" t="s">
        <v>1445</v>
      </c>
      <c r="E342" s="27" t="s">
        <v>1446</v>
      </c>
      <c r="F342" s="29" t="s">
        <v>81</v>
      </c>
      <c r="G342" s="20" t="s">
        <v>72</v>
      </c>
      <c r="H342" s="36" t="s">
        <v>1447</v>
      </c>
      <c r="I342" s="37">
        <v>45114</v>
      </c>
      <c r="J342" s="37">
        <v>45114</v>
      </c>
      <c r="K342" s="22" t="s">
        <v>35</v>
      </c>
      <c r="L342" s="28">
        <v>0</v>
      </c>
      <c r="M342" s="86"/>
      <c r="N342" s="41"/>
      <c r="O342" s="23"/>
      <c r="P342" s="23"/>
      <c r="Q342" s="23">
        <v>30</v>
      </c>
      <c r="R342" s="23">
        <f t="shared" si="5"/>
        <v>30</v>
      </c>
      <c r="S342" s="22">
        <v>2</v>
      </c>
      <c r="T342" s="20" t="s">
        <v>1023</v>
      </c>
    </row>
    <row r="343" spans="1:20" ht="23.25" customHeight="1" x14ac:dyDescent="0.25">
      <c r="A343" s="21" t="s">
        <v>1448</v>
      </c>
      <c r="B343" s="24">
        <v>2023</v>
      </c>
      <c r="C343" s="90" t="s">
        <v>21</v>
      </c>
      <c r="D343" s="24" t="s">
        <v>1449</v>
      </c>
      <c r="E343" s="30" t="s">
        <v>1450</v>
      </c>
      <c r="F343" s="31" t="s">
        <v>23</v>
      </c>
      <c r="G343" s="21" t="s">
        <v>364</v>
      </c>
      <c r="H343" s="38" t="s">
        <v>1451</v>
      </c>
      <c r="I343" s="39">
        <v>45131</v>
      </c>
      <c r="J343" s="39">
        <v>45135</v>
      </c>
      <c r="K343" s="24" t="s">
        <v>35</v>
      </c>
      <c r="L343" s="26">
        <f>6878.39+4650</f>
        <v>11528.39</v>
      </c>
      <c r="M343" s="87">
        <v>4.4000000000000004</v>
      </c>
      <c r="N343" s="40">
        <v>67</v>
      </c>
      <c r="O343" s="25">
        <v>67</v>
      </c>
      <c r="P343" s="25">
        <v>0</v>
      </c>
      <c r="Q343" s="25">
        <v>0</v>
      </c>
      <c r="R343" s="25">
        <f t="shared" si="5"/>
        <v>67</v>
      </c>
      <c r="S343" s="24">
        <v>18</v>
      </c>
      <c r="T343" s="21" t="s">
        <v>1452</v>
      </c>
    </row>
    <row r="344" spans="1:20" ht="23.25" customHeight="1" x14ac:dyDescent="0.25">
      <c r="A344" s="20" t="s">
        <v>1453</v>
      </c>
      <c r="B344" s="22">
        <v>2023</v>
      </c>
      <c r="C344" s="90" t="s">
        <v>21</v>
      </c>
      <c r="D344" s="22" t="s">
        <v>1454</v>
      </c>
      <c r="E344" s="27" t="s">
        <v>1455</v>
      </c>
      <c r="F344" s="29" t="s">
        <v>23</v>
      </c>
      <c r="G344" s="20" t="s">
        <v>364</v>
      </c>
      <c r="H344" s="36" t="s">
        <v>1451</v>
      </c>
      <c r="I344" s="37">
        <v>45131</v>
      </c>
      <c r="J344" s="37">
        <v>45135</v>
      </c>
      <c r="K344" s="22" t="s">
        <v>35</v>
      </c>
      <c r="L344" s="28">
        <v>4650</v>
      </c>
      <c r="M344" s="86">
        <v>4.4000000000000004</v>
      </c>
      <c r="N344" s="41">
        <v>67</v>
      </c>
      <c r="O344" s="23">
        <v>67</v>
      </c>
      <c r="P344" s="23">
        <v>0</v>
      </c>
      <c r="Q344" s="23">
        <v>0</v>
      </c>
      <c r="R344" s="23">
        <f t="shared" si="5"/>
        <v>67</v>
      </c>
      <c r="S344" s="22">
        <v>2</v>
      </c>
      <c r="T344" s="20" t="s">
        <v>1456</v>
      </c>
    </row>
    <row r="345" spans="1:20" ht="23.25" customHeight="1" x14ac:dyDescent="0.25">
      <c r="A345" s="21" t="s">
        <v>1457</v>
      </c>
      <c r="B345" s="24">
        <v>2023</v>
      </c>
      <c r="C345" s="90" t="s">
        <v>21</v>
      </c>
      <c r="D345" s="24" t="s">
        <v>1454</v>
      </c>
      <c r="E345" s="30" t="s">
        <v>1458</v>
      </c>
      <c r="F345" s="31" t="s">
        <v>23</v>
      </c>
      <c r="G345" s="21" t="s">
        <v>364</v>
      </c>
      <c r="H345" s="38" t="s">
        <v>1451</v>
      </c>
      <c r="I345" s="39">
        <v>45131</v>
      </c>
      <c r="J345" s="39">
        <v>45135</v>
      </c>
      <c r="K345" s="24" t="s">
        <v>35</v>
      </c>
      <c r="L345" s="26">
        <v>4650</v>
      </c>
      <c r="M345" s="87">
        <v>4.4000000000000004</v>
      </c>
      <c r="N345" s="40">
        <v>57</v>
      </c>
      <c r="O345" s="25">
        <v>57</v>
      </c>
      <c r="P345" s="25">
        <v>0</v>
      </c>
      <c r="Q345" s="25">
        <v>0</v>
      </c>
      <c r="R345" s="25">
        <f t="shared" si="5"/>
        <v>57</v>
      </c>
      <c r="S345" s="24">
        <v>2</v>
      </c>
      <c r="T345" s="21" t="s">
        <v>1456</v>
      </c>
    </row>
    <row r="346" spans="1:20" ht="23.25" customHeight="1" x14ac:dyDescent="0.25">
      <c r="A346" s="20" t="s">
        <v>1459</v>
      </c>
      <c r="B346" s="22">
        <v>2023</v>
      </c>
      <c r="C346" s="90" t="s">
        <v>21</v>
      </c>
      <c r="D346" s="22" t="s">
        <v>1354</v>
      </c>
      <c r="E346" s="27" t="s">
        <v>1460</v>
      </c>
      <c r="F346" s="29" t="s">
        <v>23</v>
      </c>
      <c r="G346" s="20" t="s">
        <v>1356</v>
      </c>
      <c r="H346" s="36" t="s">
        <v>1461</v>
      </c>
      <c r="I346" s="37">
        <v>45138</v>
      </c>
      <c r="J346" s="37">
        <v>45166</v>
      </c>
      <c r="K346" s="22" t="s">
        <v>26</v>
      </c>
      <c r="L346" s="28">
        <v>30590</v>
      </c>
      <c r="M346" s="86">
        <v>4.3</v>
      </c>
      <c r="N346" s="41">
        <v>20</v>
      </c>
      <c r="O346" s="23">
        <v>20</v>
      </c>
      <c r="P346" s="23">
        <v>0</v>
      </c>
      <c r="Q346" s="23">
        <v>0</v>
      </c>
      <c r="R346" s="23">
        <f t="shared" si="5"/>
        <v>20</v>
      </c>
      <c r="S346" s="22">
        <v>26</v>
      </c>
      <c r="T346" s="20" t="s">
        <v>1462</v>
      </c>
    </row>
    <row r="347" spans="1:20" ht="23.25" customHeight="1" x14ac:dyDescent="0.25">
      <c r="A347" s="21" t="s">
        <v>1463</v>
      </c>
      <c r="B347" s="24">
        <v>2023</v>
      </c>
      <c r="C347" s="90" t="s">
        <v>21</v>
      </c>
      <c r="D347" s="24" t="s">
        <v>1464</v>
      </c>
      <c r="E347" s="30" t="s">
        <v>1465</v>
      </c>
      <c r="F347" s="31" t="s">
        <v>62</v>
      </c>
      <c r="G347" s="21" t="s">
        <v>72</v>
      </c>
      <c r="H347" s="38" t="s">
        <v>1466</v>
      </c>
      <c r="I347" s="39">
        <v>45141</v>
      </c>
      <c r="J347" s="39">
        <v>45142</v>
      </c>
      <c r="K347" s="24" t="s">
        <v>35</v>
      </c>
      <c r="L347" s="26">
        <v>3427.55</v>
      </c>
      <c r="M347" s="87">
        <v>4.7</v>
      </c>
      <c r="N347" s="40">
        <v>400</v>
      </c>
      <c r="O347" s="25">
        <v>112</v>
      </c>
      <c r="P347" s="25">
        <v>203</v>
      </c>
      <c r="Q347" s="25">
        <v>0</v>
      </c>
      <c r="R347" s="25">
        <f t="shared" si="5"/>
        <v>315</v>
      </c>
      <c r="S347" s="24">
        <v>8</v>
      </c>
      <c r="T347" s="21" t="s">
        <v>1467</v>
      </c>
    </row>
    <row r="348" spans="1:20" ht="23.25" customHeight="1" x14ac:dyDescent="0.25">
      <c r="A348" s="20" t="s">
        <v>1468</v>
      </c>
      <c r="B348" s="22">
        <v>2023</v>
      </c>
      <c r="C348" s="90" t="s">
        <v>21</v>
      </c>
      <c r="D348" s="22" t="s">
        <v>1469</v>
      </c>
      <c r="E348" s="27" t="s">
        <v>1470</v>
      </c>
      <c r="F348" s="29" t="s">
        <v>62</v>
      </c>
      <c r="G348" s="20" t="s">
        <v>72</v>
      </c>
      <c r="H348" s="36" t="s">
        <v>1471</v>
      </c>
      <c r="I348" s="37">
        <v>45145</v>
      </c>
      <c r="J348" s="37">
        <v>45146</v>
      </c>
      <c r="K348" s="22" t="s">
        <v>35</v>
      </c>
      <c r="L348" s="28">
        <v>3974.15</v>
      </c>
      <c r="M348" s="86">
        <v>4.7</v>
      </c>
      <c r="N348" s="41">
        <v>30</v>
      </c>
      <c r="O348" s="23">
        <v>1</v>
      </c>
      <c r="P348" s="23">
        <v>34</v>
      </c>
      <c r="Q348" s="23">
        <v>0</v>
      </c>
      <c r="R348" s="23">
        <f t="shared" si="5"/>
        <v>35</v>
      </c>
      <c r="S348" s="22">
        <v>8</v>
      </c>
      <c r="T348" s="20" t="s">
        <v>1472</v>
      </c>
    </row>
    <row r="349" spans="1:20" ht="23.25" customHeight="1" x14ac:dyDescent="0.25">
      <c r="A349" s="21" t="s">
        <v>1473</v>
      </c>
      <c r="B349" s="24">
        <v>2023</v>
      </c>
      <c r="C349" s="90" t="s">
        <v>21</v>
      </c>
      <c r="D349" s="24" t="s">
        <v>1474</v>
      </c>
      <c r="E349" s="30" t="s">
        <v>1475</v>
      </c>
      <c r="F349" s="31" t="s">
        <v>23</v>
      </c>
      <c r="G349" s="21" t="s">
        <v>457</v>
      </c>
      <c r="H349" s="38" t="s">
        <v>1476</v>
      </c>
      <c r="I349" s="39">
        <v>45145</v>
      </c>
      <c r="J349" s="39">
        <v>45265</v>
      </c>
      <c r="K349" s="24" t="s">
        <v>26</v>
      </c>
      <c r="L349" s="26">
        <v>76500</v>
      </c>
      <c r="M349" s="87">
        <v>5</v>
      </c>
      <c r="N349" s="40">
        <v>17</v>
      </c>
      <c r="O349" s="25">
        <v>17</v>
      </c>
      <c r="P349" s="25">
        <v>0</v>
      </c>
      <c r="Q349" s="25">
        <v>0</v>
      </c>
      <c r="R349" s="25">
        <f t="shared" si="5"/>
        <v>17</v>
      </c>
      <c r="S349" s="24">
        <f>5*17</f>
        <v>85</v>
      </c>
      <c r="T349" s="21" t="s">
        <v>966</v>
      </c>
    </row>
    <row r="350" spans="1:20" ht="23.25" customHeight="1" x14ac:dyDescent="0.25">
      <c r="A350" s="20" t="s">
        <v>1477</v>
      </c>
      <c r="B350" s="22">
        <v>2023</v>
      </c>
      <c r="C350" s="90" t="s">
        <v>21</v>
      </c>
      <c r="D350" s="22" t="s">
        <v>1478</v>
      </c>
      <c r="E350" s="27" t="s">
        <v>1479</v>
      </c>
      <c r="F350" s="29" t="s">
        <v>62</v>
      </c>
      <c r="G350" s="20" t="s">
        <v>72</v>
      </c>
      <c r="H350" s="36" t="s">
        <v>1480</v>
      </c>
      <c r="I350" s="37">
        <v>45145</v>
      </c>
      <c r="J350" s="37">
        <v>45146</v>
      </c>
      <c r="K350" s="22" t="s">
        <v>35</v>
      </c>
      <c r="L350" s="28">
        <v>5383.02</v>
      </c>
      <c r="M350" s="86">
        <v>4.7</v>
      </c>
      <c r="N350" s="41">
        <v>20</v>
      </c>
      <c r="O350" s="23">
        <v>3</v>
      </c>
      <c r="P350" s="23">
        <v>24</v>
      </c>
      <c r="Q350" s="23">
        <v>0</v>
      </c>
      <c r="R350" s="23">
        <f t="shared" si="5"/>
        <v>27</v>
      </c>
      <c r="S350" s="22">
        <v>8</v>
      </c>
      <c r="T350" s="20" t="s">
        <v>935</v>
      </c>
    </row>
    <row r="351" spans="1:20" ht="23.25" customHeight="1" x14ac:dyDescent="0.25">
      <c r="A351" s="21" t="s">
        <v>1481</v>
      </c>
      <c r="B351" s="24">
        <v>2023</v>
      </c>
      <c r="C351" s="90" t="s">
        <v>21</v>
      </c>
      <c r="D351" s="24" t="s">
        <v>1482</v>
      </c>
      <c r="E351" s="30" t="s">
        <v>1483</v>
      </c>
      <c r="F351" s="31" t="s">
        <v>62</v>
      </c>
      <c r="G351" s="21" t="s">
        <v>72</v>
      </c>
      <c r="H351" s="38" t="s">
        <v>1484</v>
      </c>
      <c r="I351" s="39">
        <v>45145</v>
      </c>
      <c r="J351" s="39">
        <v>45145</v>
      </c>
      <c r="K351" s="24" t="s">
        <v>35</v>
      </c>
      <c r="L351" s="26">
        <v>0</v>
      </c>
      <c r="M351" s="87">
        <v>4.0999999999999996</v>
      </c>
      <c r="N351" s="40">
        <v>40</v>
      </c>
      <c r="O351" s="25">
        <v>8</v>
      </c>
      <c r="P351" s="25">
        <v>37</v>
      </c>
      <c r="Q351" s="25">
        <v>0</v>
      </c>
      <c r="R351" s="25">
        <f t="shared" si="5"/>
        <v>45</v>
      </c>
      <c r="S351" s="24">
        <v>4</v>
      </c>
      <c r="T351" s="21" t="s">
        <v>1485</v>
      </c>
    </row>
    <row r="352" spans="1:20" ht="23.25" customHeight="1" x14ac:dyDescent="0.25">
      <c r="A352" s="20" t="s">
        <v>1486</v>
      </c>
      <c r="B352" s="22">
        <v>2023</v>
      </c>
      <c r="C352" s="90" t="s">
        <v>21</v>
      </c>
      <c r="D352" s="22" t="s">
        <v>1487</v>
      </c>
      <c r="E352" s="27" t="s">
        <v>1488</v>
      </c>
      <c r="F352" s="29" t="s">
        <v>62</v>
      </c>
      <c r="G352" s="20" t="s">
        <v>72</v>
      </c>
      <c r="H352" s="36" t="s">
        <v>1489</v>
      </c>
      <c r="I352" s="37">
        <v>45146</v>
      </c>
      <c r="J352" s="37">
        <v>45146</v>
      </c>
      <c r="K352" s="22" t="s">
        <v>35</v>
      </c>
      <c r="L352" s="28">
        <v>0</v>
      </c>
      <c r="M352" s="86">
        <v>4.5999999999999996</v>
      </c>
      <c r="N352" s="41">
        <v>40</v>
      </c>
      <c r="O352" s="23">
        <v>14</v>
      </c>
      <c r="P352" s="23">
        <v>37</v>
      </c>
      <c r="Q352" s="23">
        <v>0</v>
      </c>
      <c r="R352" s="23">
        <f t="shared" si="5"/>
        <v>51</v>
      </c>
      <c r="S352" s="22">
        <v>4</v>
      </c>
      <c r="T352" s="20" t="s">
        <v>1490</v>
      </c>
    </row>
    <row r="353" spans="1:20" ht="23.25" customHeight="1" x14ac:dyDescent="0.25">
      <c r="A353" s="21" t="s">
        <v>1491</v>
      </c>
      <c r="B353" s="24">
        <v>2023</v>
      </c>
      <c r="C353" s="90" t="s">
        <v>21</v>
      </c>
      <c r="D353" s="24" t="s">
        <v>1354</v>
      </c>
      <c r="E353" s="30" t="s">
        <v>1492</v>
      </c>
      <c r="F353" s="31" t="s">
        <v>23</v>
      </c>
      <c r="G353" s="21" t="s">
        <v>1356</v>
      </c>
      <c r="H353" s="38" t="s">
        <v>1493</v>
      </c>
      <c r="I353" s="39">
        <v>45147</v>
      </c>
      <c r="J353" s="39">
        <v>45187</v>
      </c>
      <c r="K353" s="24" t="s">
        <v>26</v>
      </c>
      <c r="L353" s="26">
        <v>31502</v>
      </c>
      <c r="M353" s="87">
        <v>4.7</v>
      </c>
      <c r="N353" s="40">
        <v>20</v>
      </c>
      <c r="O353" s="25">
        <v>5</v>
      </c>
      <c r="P353" s="25">
        <v>0</v>
      </c>
      <c r="Q353" s="25">
        <v>0</v>
      </c>
      <c r="R353" s="25">
        <f t="shared" si="5"/>
        <v>5</v>
      </c>
      <c r="S353" s="24">
        <v>28</v>
      </c>
      <c r="T353" s="21" t="s">
        <v>1404</v>
      </c>
    </row>
    <row r="354" spans="1:20" ht="23.25" customHeight="1" x14ac:dyDescent="0.25">
      <c r="A354" s="20" t="s">
        <v>1494</v>
      </c>
      <c r="B354" s="22">
        <v>2023</v>
      </c>
      <c r="C354" s="90" t="s">
        <v>21</v>
      </c>
      <c r="D354" s="22" t="s">
        <v>1345</v>
      </c>
      <c r="E354" s="27" t="s">
        <v>1495</v>
      </c>
      <c r="F354" s="29" t="s">
        <v>23</v>
      </c>
      <c r="G354" s="20" t="s">
        <v>38</v>
      </c>
      <c r="H354" s="36" t="s">
        <v>1496</v>
      </c>
      <c r="I354" s="37">
        <v>45147</v>
      </c>
      <c r="J354" s="37">
        <v>45149</v>
      </c>
      <c r="K354" s="22" t="s">
        <v>26</v>
      </c>
      <c r="L354" s="28">
        <v>16253.1</v>
      </c>
      <c r="M354" s="86">
        <v>4.95</v>
      </c>
      <c r="N354" s="41">
        <v>20</v>
      </c>
      <c r="O354" s="23">
        <v>16</v>
      </c>
      <c r="P354" s="23">
        <v>0</v>
      </c>
      <c r="Q354" s="23">
        <v>0</v>
      </c>
      <c r="R354" s="23">
        <f t="shared" si="5"/>
        <v>16</v>
      </c>
      <c r="S354" s="22">
        <v>24</v>
      </c>
      <c r="T354" s="20" t="s">
        <v>1348</v>
      </c>
    </row>
    <row r="355" spans="1:20" ht="23.25" customHeight="1" x14ac:dyDescent="0.25">
      <c r="A355" s="21" t="s">
        <v>1497</v>
      </c>
      <c r="B355" s="24">
        <v>2023</v>
      </c>
      <c r="C355" s="90" t="s">
        <v>21</v>
      </c>
      <c r="D355" s="24" t="s">
        <v>1498</v>
      </c>
      <c r="E355" s="30" t="s">
        <v>1499</v>
      </c>
      <c r="F355" s="31" t="s">
        <v>23</v>
      </c>
      <c r="G355" s="21" t="s">
        <v>38</v>
      </c>
      <c r="H355" s="38" t="s">
        <v>1500</v>
      </c>
      <c r="I355" s="39">
        <v>45148</v>
      </c>
      <c r="J355" s="39">
        <v>45155</v>
      </c>
      <c r="K355" s="24" t="s">
        <v>26</v>
      </c>
      <c r="L355" s="26">
        <v>4500</v>
      </c>
      <c r="M355" s="87">
        <v>4.8</v>
      </c>
      <c r="N355" s="40">
        <v>30</v>
      </c>
      <c r="O355" s="25">
        <v>30</v>
      </c>
      <c r="P355" s="25">
        <v>0</v>
      </c>
      <c r="Q355" s="25">
        <v>0</v>
      </c>
      <c r="R355" s="25">
        <f t="shared" si="5"/>
        <v>30</v>
      </c>
      <c r="S355" s="24">
        <v>12</v>
      </c>
      <c r="T355" s="21" t="s">
        <v>1501</v>
      </c>
    </row>
    <row r="356" spans="1:20" ht="23.25" customHeight="1" x14ac:dyDescent="0.25">
      <c r="A356" s="20" t="s">
        <v>1502</v>
      </c>
      <c r="B356" s="22">
        <v>2023</v>
      </c>
      <c r="C356" s="90" t="s">
        <v>21</v>
      </c>
      <c r="D356" s="22" t="s">
        <v>1503</v>
      </c>
      <c r="E356" s="27" t="s">
        <v>1504</v>
      </c>
      <c r="F356" s="29" t="s">
        <v>23</v>
      </c>
      <c r="G356" s="20" t="s">
        <v>68</v>
      </c>
      <c r="H356" s="36" t="s">
        <v>1505</v>
      </c>
      <c r="I356" s="37">
        <v>45154</v>
      </c>
      <c r="J356" s="37">
        <v>45156</v>
      </c>
      <c r="K356" s="22" t="s">
        <v>26</v>
      </c>
      <c r="L356" s="28">
        <v>0</v>
      </c>
      <c r="M356" s="86">
        <v>4.5999999999999996</v>
      </c>
      <c r="N356" s="41">
        <v>70</v>
      </c>
      <c r="O356" s="23">
        <v>30</v>
      </c>
      <c r="P356" s="23">
        <v>34</v>
      </c>
      <c r="Q356" s="23">
        <v>0</v>
      </c>
      <c r="R356" s="23">
        <f t="shared" si="5"/>
        <v>64</v>
      </c>
      <c r="S356" s="22">
        <v>12</v>
      </c>
      <c r="T356" s="20"/>
    </row>
    <row r="357" spans="1:20" ht="23.25" customHeight="1" x14ac:dyDescent="0.25">
      <c r="A357" s="21" t="s">
        <v>1506</v>
      </c>
      <c r="B357" s="24">
        <v>2023</v>
      </c>
      <c r="C357" s="90" t="s">
        <v>21</v>
      </c>
      <c r="D357" s="24" t="s">
        <v>1449</v>
      </c>
      <c r="E357" s="30" t="s">
        <v>1507</v>
      </c>
      <c r="F357" s="31" t="s">
        <v>23</v>
      </c>
      <c r="G357" s="21" t="s">
        <v>364</v>
      </c>
      <c r="H357" s="38" t="s">
        <v>1508</v>
      </c>
      <c r="I357" s="39">
        <v>45159</v>
      </c>
      <c r="J357" s="39">
        <v>45163</v>
      </c>
      <c r="K357" s="24" t="s">
        <v>35</v>
      </c>
      <c r="L357" s="26">
        <f>6878.39+4650</f>
        <v>11528.39</v>
      </c>
      <c r="M357" s="87">
        <v>4.4000000000000004</v>
      </c>
      <c r="N357" s="40">
        <v>65</v>
      </c>
      <c r="O357" s="25">
        <v>57</v>
      </c>
      <c r="P357" s="25">
        <v>0</v>
      </c>
      <c r="Q357" s="25">
        <v>0</v>
      </c>
      <c r="R357" s="25">
        <f t="shared" si="5"/>
        <v>57</v>
      </c>
      <c r="S357" s="24">
        <v>20</v>
      </c>
      <c r="T357" s="21" t="s">
        <v>1452</v>
      </c>
    </row>
    <row r="358" spans="1:20" ht="23.25" customHeight="1" x14ac:dyDescent="0.25">
      <c r="A358" s="20" t="s">
        <v>1509</v>
      </c>
      <c r="B358" s="22">
        <v>2023</v>
      </c>
      <c r="C358" s="90" t="s">
        <v>21</v>
      </c>
      <c r="D358" s="22" t="s">
        <v>1510</v>
      </c>
      <c r="E358" s="27" t="s">
        <v>1511</v>
      </c>
      <c r="F358" s="29" t="s">
        <v>23</v>
      </c>
      <c r="G358" s="20" t="s">
        <v>68</v>
      </c>
      <c r="H358" s="36" t="s">
        <v>1512</v>
      </c>
      <c r="I358" s="37">
        <v>45166</v>
      </c>
      <c r="J358" s="37">
        <v>45173</v>
      </c>
      <c r="K358" s="22" t="s">
        <v>26</v>
      </c>
      <c r="L358" s="28">
        <v>17000</v>
      </c>
      <c r="M358" s="86">
        <v>4.5</v>
      </c>
      <c r="N358" s="41">
        <v>40</v>
      </c>
      <c r="O358" s="23">
        <v>31</v>
      </c>
      <c r="P358" s="23">
        <v>8</v>
      </c>
      <c r="Q358" s="23">
        <v>0</v>
      </c>
      <c r="R358" s="23">
        <f t="shared" si="5"/>
        <v>39</v>
      </c>
      <c r="S358" s="22">
        <v>25</v>
      </c>
      <c r="T358" s="20" t="s">
        <v>1513</v>
      </c>
    </row>
    <row r="359" spans="1:20" ht="23.25" customHeight="1" x14ac:dyDescent="0.25">
      <c r="A359" s="21" t="s">
        <v>1514</v>
      </c>
      <c r="B359" s="24">
        <v>2023</v>
      </c>
      <c r="C359" s="90" t="s">
        <v>21</v>
      </c>
      <c r="D359" s="24" t="s">
        <v>1515</v>
      </c>
      <c r="E359" s="30" t="s">
        <v>1516</v>
      </c>
      <c r="F359" s="31" t="s">
        <v>23</v>
      </c>
      <c r="G359" s="21" t="s">
        <v>24</v>
      </c>
      <c r="H359" s="38" t="s">
        <v>1517</v>
      </c>
      <c r="I359" s="39">
        <v>45174</v>
      </c>
      <c r="J359" s="39">
        <v>45196</v>
      </c>
      <c r="K359" s="24" t="s">
        <v>35</v>
      </c>
      <c r="L359" s="26">
        <v>13025.35</v>
      </c>
      <c r="M359" s="87">
        <v>4.9000000000000004</v>
      </c>
      <c r="N359" s="40">
        <v>20</v>
      </c>
      <c r="O359" s="25">
        <v>16</v>
      </c>
      <c r="P359" s="25">
        <v>0</v>
      </c>
      <c r="Q359" s="25">
        <v>0</v>
      </c>
      <c r="R359" s="25">
        <f t="shared" si="5"/>
        <v>16</v>
      </c>
      <c r="S359" s="24">
        <v>24</v>
      </c>
      <c r="T359" s="21" t="s">
        <v>571</v>
      </c>
    </row>
    <row r="360" spans="1:20" ht="23.25" customHeight="1" x14ac:dyDescent="0.25">
      <c r="A360" s="20" t="s">
        <v>1518</v>
      </c>
      <c r="B360" s="22">
        <v>2023</v>
      </c>
      <c r="C360" s="90" t="s">
        <v>21</v>
      </c>
      <c r="D360" s="22" t="s">
        <v>1519</v>
      </c>
      <c r="E360" s="35" t="s">
        <v>1520</v>
      </c>
      <c r="F360" s="29" t="s">
        <v>62</v>
      </c>
      <c r="G360" s="20" t="s">
        <v>72</v>
      </c>
      <c r="H360" s="36" t="s">
        <v>1521</v>
      </c>
      <c r="I360" s="37">
        <v>45180</v>
      </c>
      <c r="J360" s="37">
        <v>45184</v>
      </c>
      <c r="K360" s="22" t="s">
        <v>35</v>
      </c>
      <c r="L360" s="28">
        <v>4670.12</v>
      </c>
      <c r="M360" s="86">
        <v>4.5999999999999996</v>
      </c>
      <c r="N360" s="41">
        <v>40</v>
      </c>
      <c r="O360" s="23">
        <v>6</v>
      </c>
      <c r="P360" s="23">
        <v>41</v>
      </c>
      <c r="Q360" s="23">
        <v>0</v>
      </c>
      <c r="R360" s="23">
        <f t="shared" si="5"/>
        <v>47</v>
      </c>
      <c r="S360" s="22">
        <v>20</v>
      </c>
      <c r="T360" s="20" t="s">
        <v>1422</v>
      </c>
    </row>
    <row r="361" spans="1:20" ht="23.25" customHeight="1" x14ac:dyDescent="0.25">
      <c r="A361" s="21" t="s">
        <v>1522</v>
      </c>
      <c r="B361" s="24">
        <v>2023</v>
      </c>
      <c r="C361" s="90" t="s">
        <v>21</v>
      </c>
      <c r="D361" s="24" t="s">
        <v>1523</v>
      </c>
      <c r="E361" s="30" t="s">
        <v>1524</v>
      </c>
      <c r="F361" s="31" t="s">
        <v>62</v>
      </c>
      <c r="G361" s="21" t="s">
        <v>72</v>
      </c>
      <c r="H361" s="38" t="s">
        <v>1525</v>
      </c>
      <c r="I361" s="39">
        <v>45181</v>
      </c>
      <c r="J361" s="39">
        <v>45190</v>
      </c>
      <c r="K361" s="24" t="s">
        <v>35</v>
      </c>
      <c r="L361" s="26">
        <v>11523.98</v>
      </c>
      <c r="M361" s="87">
        <v>5</v>
      </c>
      <c r="N361" s="40">
        <v>20</v>
      </c>
      <c r="O361" s="25">
        <v>8</v>
      </c>
      <c r="P361" s="25">
        <v>3</v>
      </c>
      <c r="Q361" s="25">
        <v>2</v>
      </c>
      <c r="R361" s="25">
        <f t="shared" si="5"/>
        <v>13</v>
      </c>
      <c r="S361" s="24">
        <v>16</v>
      </c>
      <c r="T361" s="21" t="s">
        <v>1526</v>
      </c>
    </row>
    <row r="362" spans="1:20" ht="23.25" customHeight="1" x14ac:dyDescent="0.25">
      <c r="A362" s="20" t="s">
        <v>1527</v>
      </c>
      <c r="B362" s="22">
        <v>2023</v>
      </c>
      <c r="C362" s="90" t="s">
        <v>21</v>
      </c>
      <c r="D362" s="22" t="s">
        <v>1376</v>
      </c>
      <c r="E362" s="27" t="s">
        <v>1528</v>
      </c>
      <c r="F362" s="29" t="s">
        <v>23</v>
      </c>
      <c r="G362" s="20" t="s">
        <v>457</v>
      </c>
      <c r="H362" s="36" t="s">
        <v>1529</v>
      </c>
      <c r="I362" s="37">
        <v>45182</v>
      </c>
      <c r="J362" s="37">
        <v>45201</v>
      </c>
      <c r="K362" s="22" t="s">
        <v>26</v>
      </c>
      <c r="L362" s="28">
        <v>27000</v>
      </c>
      <c r="M362" s="86">
        <v>4.5999999999999996</v>
      </c>
      <c r="N362" s="41">
        <v>20</v>
      </c>
      <c r="O362" s="23">
        <v>26</v>
      </c>
      <c r="P362" s="23">
        <v>0</v>
      </c>
      <c r="Q362" s="23">
        <v>0</v>
      </c>
      <c r="R362" s="23">
        <f t="shared" si="5"/>
        <v>26</v>
      </c>
      <c r="S362" s="22">
        <v>30</v>
      </c>
      <c r="T362" s="20" t="s">
        <v>966</v>
      </c>
    </row>
    <row r="363" spans="1:20" ht="23.25" customHeight="1" x14ac:dyDescent="0.25">
      <c r="A363" s="21" t="s">
        <v>1530</v>
      </c>
      <c r="B363" s="24">
        <v>2023</v>
      </c>
      <c r="C363" s="90" t="s">
        <v>21</v>
      </c>
      <c r="D363" s="24" t="s">
        <v>1531</v>
      </c>
      <c r="E363" s="30" t="s">
        <v>1170</v>
      </c>
      <c r="F363" s="31" t="s">
        <v>81</v>
      </c>
      <c r="G363" s="21" t="s">
        <v>72</v>
      </c>
      <c r="H363" s="38" t="s">
        <v>1532</v>
      </c>
      <c r="I363" s="39">
        <v>45187</v>
      </c>
      <c r="J363" s="39">
        <v>45191</v>
      </c>
      <c r="K363" s="24" t="s">
        <v>26</v>
      </c>
      <c r="L363" s="26">
        <v>6000</v>
      </c>
      <c r="M363" s="87">
        <v>5</v>
      </c>
      <c r="N363" s="40">
        <v>40</v>
      </c>
      <c r="O363" s="25">
        <v>0</v>
      </c>
      <c r="P363" s="25">
        <v>0</v>
      </c>
      <c r="Q363" s="25">
        <v>43</v>
      </c>
      <c r="R363" s="25">
        <f t="shared" si="5"/>
        <v>43</v>
      </c>
      <c r="S363" s="24">
        <v>12</v>
      </c>
      <c r="T363" s="21" t="s">
        <v>1172</v>
      </c>
    </row>
    <row r="364" spans="1:20" ht="23.25" customHeight="1" x14ac:dyDescent="0.25">
      <c r="A364" s="20" t="s">
        <v>1533</v>
      </c>
      <c r="B364" s="22">
        <v>2023</v>
      </c>
      <c r="C364" s="90" t="s">
        <v>21</v>
      </c>
      <c r="D364" s="22" t="s">
        <v>1534</v>
      </c>
      <c r="E364" s="35" t="s">
        <v>1535</v>
      </c>
      <c r="F364" s="29" t="s">
        <v>23</v>
      </c>
      <c r="G364" s="20" t="s">
        <v>38</v>
      </c>
      <c r="H364" s="36" t="s">
        <v>1536</v>
      </c>
      <c r="I364" s="37">
        <v>45195</v>
      </c>
      <c r="J364" s="37">
        <v>45197</v>
      </c>
      <c r="K364" s="22" t="s">
        <v>26</v>
      </c>
      <c r="L364" s="28">
        <v>18534.060000000001</v>
      </c>
      <c r="M364" s="86">
        <v>4.8</v>
      </c>
      <c r="N364" s="41">
        <v>20</v>
      </c>
      <c r="O364" s="23">
        <v>11</v>
      </c>
      <c r="P364" s="23">
        <v>0</v>
      </c>
      <c r="Q364" s="23">
        <v>0</v>
      </c>
      <c r="R364" s="23">
        <f t="shared" si="5"/>
        <v>11</v>
      </c>
      <c r="S364" s="22">
        <v>24</v>
      </c>
      <c r="T364" s="20" t="s">
        <v>1348</v>
      </c>
    </row>
    <row r="365" spans="1:20" ht="23.25" customHeight="1" x14ac:dyDescent="0.25">
      <c r="A365" s="21" t="s">
        <v>1537</v>
      </c>
      <c r="B365" s="24">
        <v>2023</v>
      </c>
      <c r="C365" s="90" t="s">
        <v>21</v>
      </c>
      <c r="D365" s="24" t="s">
        <v>1345</v>
      </c>
      <c r="E365" s="30" t="s">
        <v>1538</v>
      </c>
      <c r="F365" s="31" t="s">
        <v>23</v>
      </c>
      <c r="G365" s="21" t="s">
        <v>38</v>
      </c>
      <c r="H365" s="38" t="s">
        <v>1539</v>
      </c>
      <c r="I365" s="39">
        <v>45201</v>
      </c>
      <c r="J365" s="39">
        <v>45203</v>
      </c>
      <c r="K365" s="24" t="s">
        <v>26</v>
      </c>
      <c r="L365" s="26">
        <v>18534.060000000001</v>
      </c>
      <c r="M365" s="87">
        <v>5</v>
      </c>
      <c r="N365" s="40">
        <v>20</v>
      </c>
      <c r="O365" s="25">
        <v>11</v>
      </c>
      <c r="P365" s="25">
        <v>0</v>
      </c>
      <c r="Q365" s="25">
        <v>0</v>
      </c>
      <c r="R365" s="25">
        <f t="shared" si="5"/>
        <v>11</v>
      </c>
      <c r="S365" s="24">
        <v>24</v>
      </c>
      <c r="T365" s="21" t="s">
        <v>1540</v>
      </c>
    </row>
    <row r="366" spans="1:20" ht="23.25" customHeight="1" x14ac:dyDescent="0.25">
      <c r="A366" s="20" t="s">
        <v>1541</v>
      </c>
      <c r="B366" s="22">
        <v>2023</v>
      </c>
      <c r="C366" s="90" t="s">
        <v>21</v>
      </c>
      <c r="D366" s="22" t="s">
        <v>1542</v>
      </c>
      <c r="E366" s="27" t="s">
        <v>1543</v>
      </c>
      <c r="F366" s="29" t="s">
        <v>81</v>
      </c>
      <c r="G366" s="20" t="s">
        <v>72</v>
      </c>
      <c r="H366" s="36" t="s">
        <v>1544</v>
      </c>
      <c r="I366" s="37">
        <v>45202</v>
      </c>
      <c r="J366" s="37">
        <v>45203</v>
      </c>
      <c r="K366" s="22" t="s">
        <v>35</v>
      </c>
      <c r="L366" s="28">
        <f>21161.18/3</f>
        <v>7053.7266666666665</v>
      </c>
      <c r="M366" s="86">
        <v>4.9000000000000004</v>
      </c>
      <c r="N366" s="41">
        <v>0</v>
      </c>
      <c r="O366" s="23">
        <v>0</v>
      </c>
      <c r="P366" s="23">
        <v>0</v>
      </c>
      <c r="Q366" s="23">
        <v>57</v>
      </c>
      <c r="R366" s="23">
        <f t="shared" si="5"/>
        <v>57</v>
      </c>
      <c r="S366" s="22">
        <v>16</v>
      </c>
      <c r="T366" s="33" t="s">
        <v>418</v>
      </c>
    </row>
    <row r="367" spans="1:20" ht="23.25" customHeight="1" x14ac:dyDescent="0.25">
      <c r="A367" s="21" t="s">
        <v>1545</v>
      </c>
      <c r="B367" s="24">
        <v>2023</v>
      </c>
      <c r="C367" s="90" t="s">
        <v>21</v>
      </c>
      <c r="D367" s="24" t="s">
        <v>1354</v>
      </c>
      <c r="E367" s="30" t="s">
        <v>1546</v>
      </c>
      <c r="F367" s="31" t="s">
        <v>23</v>
      </c>
      <c r="G367" s="21" t="s">
        <v>1356</v>
      </c>
      <c r="H367" s="38" t="s">
        <v>1547</v>
      </c>
      <c r="I367" s="39">
        <v>45204</v>
      </c>
      <c r="J367" s="39">
        <v>45204</v>
      </c>
      <c r="K367" s="24" t="s">
        <v>26</v>
      </c>
      <c r="L367" s="26">
        <f>28645/5</f>
        <v>5729</v>
      </c>
      <c r="M367" s="87">
        <v>5</v>
      </c>
      <c r="N367" s="40">
        <v>22</v>
      </c>
      <c r="O367" s="25">
        <v>22</v>
      </c>
      <c r="P367" s="25">
        <v>0</v>
      </c>
      <c r="Q367" s="25">
        <v>0</v>
      </c>
      <c r="R367" s="25">
        <f t="shared" si="5"/>
        <v>22</v>
      </c>
      <c r="S367" s="24">
        <v>20</v>
      </c>
      <c r="T367" s="21" t="s">
        <v>1548</v>
      </c>
    </row>
    <row r="368" spans="1:20" ht="23.25" customHeight="1" x14ac:dyDescent="0.25">
      <c r="A368" s="20" t="s">
        <v>1549</v>
      </c>
      <c r="B368" s="22">
        <v>2023</v>
      </c>
      <c r="C368" s="90" t="s">
        <v>21</v>
      </c>
      <c r="D368" s="22" t="s">
        <v>1550</v>
      </c>
      <c r="E368" s="27" t="s">
        <v>1551</v>
      </c>
      <c r="F368" s="29" t="s">
        <v>23</v>
      </c>
      <c r="G368" s="20" t="s">
        <v>199</v>
      </c>
      <c r="H368" s="36" t="s">
        <v>1547</v>
      </c>
      <c r="I368" s="37">
        <v>45204</v>
      </c>
      <c r="J368" s="37">
        <v>45204</v>
      </c>
      <c r="K368" s="22" t="s">
        <v>26</v>
      </c>
      <c r="L368" s="28">
        <v>0</v>
      </c>
      <c r="M368" s="86">
        <v>4.9000000000000004</v>
      </c>
      <c r="N368" s="41">
        <v>0</v>
      </c>
      <c r="O368" s="23">
        <v>176</v>
      </c>
      <c r="P368" s="23">
        <v>0</v>
      </c>
      <c r="Q368" s="23">
        <v>0</v>
      </c>
      <c r="R368" s="23">
        <f t="shared" si="5"/>
        <v>176</v>
      </c>
      <c r="S368" s="22">
        <v>2</v>
      </c>
      <c r="T368" s="20"/>
    </row>
    <row r="369" spans="1:20" ht="23.25" customHeight="1" x14ac:dyDescent="0.25">
      <c r="A369" s="21" t="s">
        <v>1552</v>
      </c>
      <c r="B369" s="24">
        <v>2023</v>
      </c>
      <c r="C369" s="90" t="s">
        <v>21</v>
      </c>
      <c r="D369" s="21" t="s">
        <v>1553</v>
      </c>
      <c r="E369" s="30" t="s">
        <v>1554</v>
      </c>
      <c r="F369" s="31" t="s">
        <v>23</v>
      </c>
      <c r="G369" s="21" t="s">
        <v>199</v>
      </c>
      <c r="H369" s="38" t="s">
        <v>1555</v>
      </c>
      <c r="I369" s="39">
        <v>45205</v>
      </c>
      <c r="J369" s="39">
        <v>45205</v>
      </c>
      <c r="K369" s="24" t="s">
        <v>26</v>
      </c>
      <c r="L369" s="26">
        <v>3200</v>
      </c>
      <c r="M369" s="87">
        <v>4.42</v>
      </c>
      <c r="N369" s="40">
        <v>80</v>
      </c>
      <c r="O369" s="25">
        <v>56</v>
      </c>
      <c r="P369" s="25">
        <v>0</v>
      </c>
      <c r="Q369" s="25">
        <v>0</v>
      </c>
      <c r="R369" s="25">
        <f t="shared" si="5"/>
        <v>56</v>
      </c>
      <c r="S369" s="24">
        <v>4</v>
      </c>
      <c r="T369" s="21" t="s">
        <v>1556</v>
      </c>
    </row>
    <row r="370" spans="1:20" ht="23.25" customHeight="1" x14ac:dyDescent="0.25">
      <c r="A370" s="20" t="s">
        <v>1557</v>
      </c>
      <c r="B370" s="22">
        <v>2023</v>
      </c>
      <c r="C370" s="90" t="s">
        <v>21</v>
      </c>
      <c r="D370" s="22" t="s">
        <v>1558</v>
      </c>
      <c r="E370" s="42" t="s">
        <v>1559</v>
      </c>
      <c r="F370" s="29" t="s">
        <v>62</v>
      </c>
      <c r="G370" s="20" t="s">
        <v>72</v>
      </c>
      <c r="H370" s="36" t="s">
        <v>1560</v>
      </c>
      <c r="I370" s="37">
        <v>45207</v>
      </c>
      <c r="J370" s="37">
        <v>45208</v>
      </c>
      <c r="K370" s="22" t="s">
        <v>35</v>
      </c>
      <c r="L370" s="28">
        <f>2760.19+2885.66</f>
        <v>5645.85</v>
      </c>
      <c r="M370" s="86">
        <v>4.8</v>
      </c>
      <c r="N370" s="41">
        <v>0</v>
      </c>
      <c r="O370" s="23">
        <v>0</v>
      </c>
      <c r="P370" s="23">
        <v>23</v>
      </c>
      <c r="Q370" s="23">
        <v>0</v>
      </c>
      <c r="R370" s="23">
        <f t="shared" si="5"/>
        <v>23</v>
      </c>
      <c r="S370" s="22">
        <v>8</v>
      </c>
      <c r="T370" s="20" t="s">
        <v>1561</v>
      </c>
    </row>
    <row r="371" spans="1:20" ht="23.25" customHeight="1" x14ac:dyDescent="0.25">
      <c r="A371" s="21" t="s">
        <v>1562</v>
      </c>
      <c r="B371" s="24">
        <v>2023</v>
      </c>
      <c r="C371" s="90" t="s">
        <v>21</v>
      </c>
      <c r="D371" s="24" t="s">
        <v>1563</v>
      </c>
      <c r="E371" s="30" t="s">
        <v>1564</v>
      </c>
      <c r="F371" s="31" t="s">
        <v>81</v>
      </c>
      <c r="G371" s="21" t="s">
        <v>72</v>
      </c>
      <c r="H371" s="38" t="s">
        <v>1565</v>
      </c>
      <c r="I371" s="39">
        <v>45209</v>
      </c>
      <c r="J371" s="39">
        <v>45209</v>
      </c>
      <c r="K371" s="24" t="s">
        <v>35</v>
      </c>
      <c r="L371" s="26">
        <v>500</v>
      </c>
      <c r="M371" s="87">
        <v>5</v>
      </c>
      <c r="N371" s="40">
        <v>0</v>
      </c>
      <c r="O371" s="25">
        <v>0</v>
      </c>
      <c r="P371" s="25">
        <v>0</v>
      </c>
      <c r="Q371" s="25">
        <v>39</v>
      </c>
      <c r="R371" s="25">
        <f t="shared" si="5"/>
        <v>39</v>
      </c>
      <c r="S371" s="24">
        <v>1</v>
      </c>
      <c r="T371" s="21" t="s">
        <v>664</v>
      </c>
    </row>
    <row r="372" spans="1:20" ht="23.25" customHeight="1" x14ac:dyDescent="0.25">
      <c r="A372" s="20" t="s">
        <v>1566</v>
      </c>
      <c r="B372" s="22">
        <v>2023</v>
      </c>
      <c r="C372" s="90" t="s">
        <v>21</v>
      </c>
      <c r="D372" s="22" t="s">
        <v>1567</v>
      </c>
      <c r="E372" s="27" t="s">
        <v>1568</v>
      </c>
      <c r="F372" s="29" t="s">
        <v>23</v>
      </c>
      <c r="G372" s="20" t="s">
        <v>33</v>
      </c>
      <c r="H372" s="50">
        <v>45209</v>
      </c>
      <c r="I372" s="37">
        <v>45209</v>
      </c>
      <c r="J372" s="37">
        <v>45209</v>
      </c>
      <c r="K372" s="22" t="s">
        <v>35</v>
      </c>
      <c r="L372" s="28">
        <v>0</v>
      </c>
      <c r="M372" s="86">
        <v>4.9000000000000004</v>
      </c>
      <c r="N372" s="41">
        <v>0</v>
      </c>
      <c r="O372" s="23">
        <v>47</v>
      </c>
      <c r="P372" s="23">
        <v>0</v>
      </c>
      <c r="Q372" s="23">
        <v>0</v>
      </c>
      <c r="R372" s="23">
        <f t="shared" si="5"/>
        <v>47</v>
      </c>
      <c r="S372" s="22">
        <v>2</v>
      </c>
      <c r="T372" s="20"/>
    </row>
    <row r="373" spans="1:20" ht="23.25" customHeight="1" x14ac:dyDescent="0.25">
      <c r="A373" s="21" t="s">
        <v>1569</v>
      </c>
      <c r="B373" s="24">
        <v>2023</v>
      </c>
      <c r="C373" s="90" t="s">
        <v>21</v>
      </c>
      <c r="D373" s="24" t="s">
        <v>1542</v>
      </c>
      <c r="E373" s="30" t="s">
        <v>1570</v>
      </c>
      <c r="F373" s="31" t="s">
        <v>81</v>
      </c>
      <c r="G373" s="21" t="s">
        <v>72</v>
      </c>
      <c r="H373" s="38" t="s">
        <v>1571</v>
      </c>
      <c r="I373" s="39">
        <v>45216</v>
      </c>
      <c r="J373" s="39">
        <v>45217</v>
      </c>
      <c r="K373" s="24" t="s">
        <v>35</v>
      </c>
      <c r="L373" s="26">
        <f>21161.18/3</f>
        <v>7053.7266666666665</v>
      </c>
      <c r="M373" s="87">
        <v>4.9000000000000004</v>
      </c>
      <c r="N373" s="40">
        <v>0</v>
      </c>
      <c r="O373" s="25">
        <v>0</v>
      </c>
      <c r="P373" s="25">
        <v>0</v>
      </c>
      <c r="Q373" s="25">
        <v>53</v>
      </c>
      <c r="R373" s="25">
        <f t="shared" si="5"/>
        <v>53</v>
      </c>
      <c r="S373" s="24">
        <v>16</v>
      </c>
      <c r="T373" s="32" t="s">
        <v>418</v>
      </c>
    </row>
    <row r="374" spans="1:20" ht="23.25" customHeight="1" x14ac:dyDescent="0.25">
      <c r="A374" s="20" t="s">
        <v>1572</v>
      </c>
      <c r="B374" s="22">
        <v>2023</v>
      </c>
      <c r="C374" s="90" t="s">
        <v>21</v>
      </c>
      <c r="D374" s="22" t="s">
        <v>1567</v>
      </c>
      <c r="E374" s="27" t="s">
        <v>1573</v>
      </c>
      <c r="F374" s="29" t="s">
        <v>23</v>
      </c>
      <c r="G374" s="20" t="s">
        <v>33</v>
      </c>
      <c r="H374" s="50" t="s">
        <v>1574</v>
      </c>
      <c r="I374" s="37">
        <v>45216</v>
      </c>
      <c r="J374" s="37">
        <v>45216</v>
      </c>
      <c r="K374" s="22" t="s">
        <v>35</v>
      </c>
      <c r="L374" s="28">
        <v>0</v>
      </c>
      <c r="M374" s="86">
        <v>5</v>
      </c>
      <c r="N374" s="41">
        <v>0</v>
      </c>
      <c r="O374" s="23">
        <v>28</v>
      </c>
      <c r="P374" s="23">
        <v>0</v>
      </c>
      <c r="Q374" s="23">
        <v>0</v>
      </c>
      <c r="R374" s="23">
        <f t="shared" si="5"/>
        <v>28</v>
      </c>
      <c r="S374" s="22">
        <v>2</v>
      </c>
      <c r="T374" s="20" t="s">
        <v>1540</v>
      </c>
    </row>
    <row r="375" spans="1:20" ht="23.25" customHeight="1" x14ac:dyDescent="0.25">
      <c r="A375" s="21" t="s">
        <v>1575</v>
      </c>
      <c r="B375" s="24">
        <v>2023</v>
      </c>
      <c r="C375" s="90" t="s">
        <v>21</v>
      </c>
      <c r="D375" s="24" t="s">
        <v>1354</v>
      </c>
      <c r="E375" s="30" t="s">
        <v>1576</v>
      </c>
      <c r="F375" s="31" t="s">
        <v>23</v>
      </c>
      <c r="G375" s="21" t="s">
        <v>1356</v>
      </c>
      <c r="H375" s="38" t="s">
        <v>1577</v>
      </c>
      <c r="I375" s="39">
        <v>45217</v>
      </c>
      <c r="J375" s="39">
        <v>45217</v>
      </c>
      <c r="K375" s="24" t="s">
        <v>26</v>
      </c>
      <c r="L375" s="26">
        <f>28645/5</f>
        <v>5729</v>
      </c>
      <c r="M375" s="87">
        <v>4.4000000000000004</v>
      </c>
      <c r="N375" s="40">
        <v>18</v>
      </c>
      <c r="O375" s="25">
        <v>18</v>
      </c>
      <c r="P375" s="25">
        <v>0</v>
      </c>
      <c r="Q375" s="25">
        <v>0</v>
      </c>
      <c r="R375" s="25">
        <f t="shared" si="5"/>
        <v>18</v>
      </c>
      <c r="S375" s="24">
        <v>3</v>
      </c>
      <c r="T375" s="21" t="s">
        <v>1548</v>
      </c>
    </row>
    <row r="376" spans="1:20" ht="23.25" customHeight="1" x14ac:dyDescent="0.25">
      <c r="A376" s="20" t="s">
        <v>1578</v>
      </c>
      <c r="B376" s="22">
        <v>2023</v>
      </c>
      <c r="C376" s="90" t="s">
        <v>21</v>
      </c>
      <c r="D376" s="22" t="s">
        <v>1542</v>
      </c>
      <c r="E376" s="27" t="s">
        <v>1579</v>
      </c>
      <c r="F376" s="29" t="s">
        <v>81</v>
      </c>
      <c r="G376" s="20" t="s">
        <v>72</v>
      </c>
      <c r="H376" s="36" t="s">
        <v>1580</v>
      </c>
      <c r="I376" s="37">
        <v>45218</v>
      </c>
      <c r="J376" s="37">
        <v>45219</v>
      </c>
      <c r="K376" s="22" t="s">
        <v>35</v>
      </c>
      <c r="L376" s="28">
        <f>21161.18/3</f>
        <v>7053.7266666666665</v>
      </c>
      <c r="M376" s="86">
        <v>4.9000000000000004</v>
      </c>
      <c r="N376" s="41">
        <v>0</v>
      </c>
      <c r="O376" s="23">
        <v>0</v>
      </c>
      <c r="P376" s="23">
        <v>0</v>
      </c>
      <c r="Q376" s="23">
        <v>53</v>
      </c>
      <c r="R376" s="23">
        <f t="shared" si="5"/>
        <v>53</v>
      </c>
      <c r="S376" s="22">
        <v>16</v>
      </c>
      <c r="T376" s="33" t="s">
        <v>418</v>
      </c>
    </row>
    <row r="377" spans="1:20" ht="23.25" customHeight="1" x14ac:dyDescent="0.25">
      <c r="A377" s="21" t="s">
        <v>1581</v>
      </c>
      <c r="B377" s="24">
        <v>2023</v>
      </c>
      <c r="C377" s="90" t="s">
        <v>21</v>
      </c>
      <c r="D377" s="24" t="s">
        <v>1354</v>
      </c>
      <c r="E377" s="30" t="s">
        <v>1582</v>
      </c>
      <c r="F377" s="31" t="s">
        <v>23</v>
      </c>
      <c r="G377" s="21" t="s">
        <v>1356</v>
      </c>
      <c r="H377" s="38" t="s">
        <v>1583</v>
      </c>
      <c r="I377" s="39">
        <v>45218</v>
      </c>
      <c r="J377" s="39">
        <v>45218</v>
      </c>
      <c r="K377" s="24" t="s">
        <v>26</v>
      </c>
      <c r="L377" s="26">
        <f>28645/5</f>
        <v>5729</v>
      </c>
      <c r="M377" s="87">
        <v>4.4000000000000004</v>
      </c>
      <c r="N377" s="40">
        <v>10</v>
      </c>
      <c r="O377" s="25">
        <v>10</v>
      </c>
      <c r="P377" s="25">
        <v>0</v>
      </c>
      <c r="Q377" s="25">
        <v>0</v>
      </c>
      <c r="R377" s="25">
        <f t="shared" si="5"/>
        <v>10</v>
      </c>
      <c r="S377" s="24">
        <v>3</v>
      </c>
      <c r="T377" s="21" t="s">
        <v>1548</v>
      </c>
    </row>
    <row r="378" spans="1:20" ht="23.25" customHeight="1" x14ac:dyDescent="0.25">
      <c r="A378" s="20" t="s">
        <v>1584</v>
      </c>
      <c r="B378" s="22">
        <v>2023</v>
      </c>
      <c r="C378" s="90" t="s">
        <v>21</v>
      </c>
      <c r="D378" s="22" t="s">
        <v>1354</v>
      </c>
      <c r="E378" s="27" t="s">
        <v>1585</v>
      </c>
      <c r="F378" s="29" t="s">
        <v>23</v>
      </c>
      <c r="G378" s="20" t="s">
        <v>1356</v>
      </c>
      <c r="H378" s="36" t="s">
        <v>1586</v>
      </c>
      <c r="I378" s="37">
        <v>45219</v>
      </c>
      <c r="J378" s="37">
        <v>45219</v>
      </c>
      <c r="K378" s="22" t="s">
        <v>26</v>
      </c>
      <c r="L378" s="28">
        <f>28645/5</f>
        <v>5729</v>
      </c>
      <c r="M378" s="86">
        <v>4.4000000000000004</v>
      </c>
      <c r="N378" s="41">
        <v>34</v>
      </c>
      <c r="O378" s="23">
        <v>34</v>
      </c>
      <c r="P378" s="23">
        <v>0</v>
      </c>
      <c r="Q378" s="23">
        <v>0</v>
      </c>
      <c r="R378" s="23">
        <f t="shared" si="5"/>
        <v>34</v>
      </c>
      <c r="S378" s="22">
        <v>3</v>
      </c>
      <c r="T378" s="20" t="s">
        <v>1548</v>
      </c>
    </row>
    <row r="379" spans="1:20" ht="23.25" customHeight="1" x14ac:dyDescent="0.25">
      <c r="A379" s="21" t="s">
        <v>1587</v>
      </c>
      <c r="B379" s="24">
        <v>2023</v>
      </c>
      <c r="C379" s="90" t="s">
        <v>21</v>
      </c>
      <c r="D379" s="24" t="s">
        <v>1588</v>
      </c>
      <c r="E379" s="30" t="s">
        <v>1589</v>
      </c>
      <c r="F379" s="31" t="s">
        <v>23</v>
      </c>
      <c r="G379" s="21" t="s">
        <v>199</v>
      </c>
      <c r="H379" s="38" t="s">
        <v>1590</v>
      </c>
      <c r="I379" s="39">
        <v>45222</v>
      </c>
      <c r="J379" s="39">
        <v>45226</v>
      </c>
      <c r="K379" s="24"/>
      <c r="L379" s="26"/>
      <c r="M379" s="87"/>
      <c r="N379" s="40"/>
      <c r="O379" s="25">
        <v>0</v>
      </c>
      <c r="P379" s="25">
        <v>0</v>
      </c>
      <c r="Q379" s="25">
        <v>0</v>
      </c>
      <c r="R379" s="25">
        <f t="shared" si="5"/>
        <v>0</v>
      </c>
      <c r="S379" s="24"/>
      <c r="T379" s="21"/>
    </row>
    <row r="380" spans="1:20" ht="23.25" customHeight="1" x14ac:dyDescent="0.25">
      <c r="A380" s="20" t="s">
        <v>1591</v>
      </c>
      <c r="B380" s="22">
        <v>2023</v>
      </c>
      <c r="C380" s="90" t="s">
        <v>21</v>
      </c>
      <c r="D380" s="22" t="s">
        <v>1592</v>
      </c>
      <c r="E380" s="27" t="s">
        <v>1593</v>
      </c>
      <c r="F380" s="29" t="s">
        <v>23</v>
      </c>
      <c r="G380" s="20" t="s">
        <v>24</v>
      </c>
      <c r="H380" s="36" t="s">
        <v>1594</v>
      </c>
      <c r="I380" s="37">
        <v>45223</v>
      </c>
      <c r="J380" s="37">
        <v>45223</v>
      </c>
      <c r="K380" s="22" t="s">
        <v>26</v>
      </c>
      <c r="L380" s="28">
        <v>0</v>
      </c>
      <c r="M380" s="86">
        <v>5</v>
      </c>
      <c r="N380" s="41">
        <v>0</v>
      </c>
      <c r="O380" s="23">
        <v>15</v>
      </c>
      <c r="P380" s="23">
        <v>0</v>
      </c>
      <c r="Q380" s="23">
        <v>0</v>
      </c>
      <c r="R380" s="23">
        <f t="shared" si="5"/>
        <v>15</v>
      </c>
      <c r="S380" s="22">
        <v>2</v>
      </c>
      <c r="T380" s="20" t="s">
        <v>1595</v>
      </c>
    </row>
    <row r="381" spans="1:20" ht="23.25" customHeight="1" x14ac:dyDescent="0.25">
      <c r="A381" s="21" t="s">
        <v>1596</v>
      </c>
      <c r="B381" s="24">
        <v>2023</v>
      </c>
      <c r="C381" s="90" t="s">
        <v>21</v>
      </c>
      <c r="D381" s="24" t="s">
        <v>1597</v>
      </c>
      <c r="E381" s="30" t="s">
        <v>1598</v>
      </c>
      <c r="F381" s="31" t="s">
        <v>23</v>
      </c>
      <c r="G381" s="21" t="s">
        <v>199</v>
      </c>
      <c r="H381" s="38" t="s">
        <v>1599</v>
      </c>
      <c r="I381" s="39">
        <v>45224</v>
      </c>
      <c r="J381" s="39">
        <v>45224</v>
      </c>
      <c r="K381" s="24" t="s">
        <v>35</v>
      </c>
      <c r="L381" s="26"/>
      <c r="M381" s="87">
        <v>4.9000000000000004</v>
      </c>
      <c r="N381" s="40"/>
      <c r="O381" s="25">
        <v>21</v>
      </c>
      <c r="P381" s="25"/>
      <c r="Q381" s="25"/>
      <c r="R381" s="25">
        <f t="shared" si="5"/>
        <v>21</v>
      </c>
      <c r="S381" s="24">
        <v>3</v>
      </c>
      <c r="T381" s="21"/>
    </row>
    <row r="382" spans="1:20" ht="23.25" customHeight="1" x14ac:dyDescent="0.25">
      <c r="A382" s="20" t="s">
        <v>1600</v>
      </c>
      <c r="B382" s="22">
        <v>2023</v>
      </c>
      <c r="C382" s="90" t="s">
        <v>21</v>
      </c>
      <c r="D382" s="22" t="s">
        <v>1542</v>
      </c>
      <c r="E382" s="27" t="s">
        <v>1601</v>
      </c>
      <c r="F382" s="29" t="s">
        <v>81</v>
      </c>
      <c r="G382" s="20" t="s">
        <v>72</v>
      </c>
      <c r="H382" s="36" t="s">
        <v>1602</v>
      </c>
      <c r="I382" s="37">
        <v>45225</v>
      </c>
      <c r="J382" s="37">
        <v>45226</v>
      </c>
      <c r="K382" s="22" t="s">
        <v>35</v>
      </c>
      <c r="L382" s="28">
        <f>25649.92/4</f>
        <v>6412.48</v>
      </c>
      <c r="M382" s="86">
        <v>4.7</v>
      </c>
      <c r="N382" s="41">
        <v>0</v>
      </c>
      <c r="O382" s="23">
        <v>0</v>
      </c>
      <c r="P382" s="23">
        <v>0</v>
      </c>
      <c r="Q382" s="23">
        <v>17</v>
      </c>
      <c r="R382" s="23">
        <f t="shared" si="5"/>
        <v>17</v>
      </c>
      <c r="S382" s="22">
        <v>16</v>
      </c>
      <c r="T382" s="33" t="s">
        <v>418</v>
      </c>
    </row>
    <row r="383" spans="1:20" ht="23.25" customHeight="1" x14ac:dyDescent="0.25">
      <c r="A383" s="21" t="s">
        <v>1603</v>
      </c>
      <c r="B383" s="24">
        <v>2023</v>
      </c>
      <c r="C383" s="90" t="s">
        <v>21</v>
      </c>
      <c r="D383" s="24" t="s">
        <v>1354</v>
      </c>
      <c r="E383" s="30" t="s">
        <v>1604</v>
      </c>
      <c r="F383" s="31" t="s">
        <v>23</v>
      </c>
      <c r="G383" s="21" t="s">
        <v>1356</v>
      </c>
      <c r="H383" s="38" t="s">
        <v>1602</v>
      </c>
      <c r="I383" s="39">
        <v>45225</v>
      </c>
      <c r="J383" s="39">
        <v>45226</v>
      </c>
      <c r="K383" s="24" t="s">
        <v>26</v>
      </c>
      <c r="L383" s="26">
        <f>28645/5</f>
        <v>5729</v>
      </c>
      <c r="M383" s="87">
        <v>5</v>
      </c>
      <c r="N383" s="40">
        <v>13</v>
      </c>
      <c r="O383" s="25">
        <v>13</v>
      </c>
      <c r="P383" s="25">
        <v>0</v>
      </c>
      <c r="Q383" s="25">
        <v>0</v>
      </c>
      <c r="R383" s="25">
        <f t="shared" si="5"/>
        <v>13</v>
      </c>
      <c r="S383" s="24">
        <v>3</v>
      </c>
      <c r="T383" s="21" t="s">
        <v>1548</v>
      </c>
    </row>
    <row r="384" spans="1:20" ht="23.25" customHeight="1" x14ac:dyDescent="0.25">
      <c r="A384" s="20" t="s">
        <v>1605</v>
      </c>
      <c r="B384" s="22">
        <v>2023</v>
      </c>
      <c r="C384" s="90" t="s">
        <v>21</v>
      </c>
      <c r="D384" s="22" t="s">
        <v>1606</v>
      </c>
      <c r="E384" s="27" t="s">
        <v>1607</v>
      </c>
      <c r="F384" s="29" t="s">
        <v>23</v>
      </c>
      <c r="G384" s="20" t="s">
        <v>199</v>
      </c>
      <c r="H384" s="36" t="s">
        <v>1608</v>
      </c>
      <c r="I384" s="37">
        <v>45226</v>
      </c>
      <c r="J384" s="37">
        <v>45226</v>
      </c>
      <c r="K384" s="22" t="s">
        <v>35</v>
      </c>
      <c r="L384" s="28">
        <v>5000</v>
      </c>
      <c r="M384" s="86">
        <v>5</v>
      </c>
      <c r="N384" s="41">
        <v>150</v>
      </c>
      <c r="O384" s="23">
        <v>114</v>
      </c>
      <c r="P384" s="23">
        <v>0</v>
      </c>
      <c r="Q384" s="23">
        <v>0</v>
      </c>
      <c r="R384" s="23">
        <f t="shared" si="5"/>
        <v>114</v>
      </c>
      <c r="S384" s="22">
        <v>2</v>
      </c>
      <c r="T384" s="20"/>
    </row>
    <row r="385" spans="1:20" ht="23.25" customHeight="1" x14ac:dyDescent="0.25">
      <c r="A385" s="21" t="s">
        <v>1609</v>
      </c>
      <c r="B385" s="24">
        <v>2023</v>
      </c>
      <c r="C385" s="90" t="s">
        <v>21</v>
      </c>
      <c r="D385" s="24" t="s">
        <v>1397</v>
      </c>
      <c r="E385" s="30" t="s">
        <v>1610</v>
      </c>
      <c r="F385" s="31" t="s">
        <v>23</v>
      </c>
      <c r="G385" s="21" t="s">
        <v>33</v>
      </c>
      <c r="H385" s="38" t="s">
        <v>1611</v>
      </c>
      <c r="I385" s="39">
        <v>45230</v>
      </c>
      <c r="J385" s="39">
        <v>45247</v>
      </c>
      <c r="K385" s="24" t="s">
        <v>26</v>
      </c>
      <c r="L385" s="26">
        <v>16400</v>
      </c>
      <c r="M385" s="87">
        <v>5</v>
      </c>
      <c r="N385" s="40">
        <v>5</v>
      </c>
      <c r="O385" s="25">
        <v>5</v>
      </c>
      <c r="P385" s="25">
        <v>0</v>
      </c>
      <c r="Q385" s="25">
        <v>0</v>
      </c>
      <c r="R385" s="25">
        <f t="shared" si="5"/>
        <v>5</v>
      </c>
      <c r="S385" s="24">
        <v>16</v>
      </c>
      <c r="T385" s="21" t="s">
        <v>1400</v>
      </c>
    </row>
    <row r="386" spans="1:20" ht="23.25" customHeight="1" x14ac:dyDescent="0.25">
      <c r="A386" s="20" t="s">
        <v>1612</v>
      </c>
      <c r="B386" s="22">
        <v>2023</v>
      </c>
      <c r="C386" s="90" t="s">
        <v>21</v>
      </c>
      <c r="D386" s="22" t="s">
        <v>1567</v>
      </c>
      <c r="E386" s="27" t="s">
        <v>1613</v>
      </c>
      <c r="F386" s="29" t="s">
        <v>23</v>
      </c>
      <c r="G386" s="20" t="s">
        <v>33</v>
      </c>
      <c r="H386" s="50" t="s">
        <v>1614</v>
      </c>
      <c r="I386" s="37">
        <v>45230</v>
      </c>
      <c r="J386" s="37">
        <v>45230</v>
      </c>
      <c r="K386" s="22" t="s">
        <v>35</v>
      </c>
      <c r="L386" s="28">
        <v>0</v>
      </c>
      <c r="M386" s="86">
        <v>4.9000000000000004</v>
      </c>
      <c r="N386" s="41">
        <v>0</v>
      </c>
      <c r="O386" s="23">
        <v>49</v>
      </c>
      <c r="P386" s="23">
        <v>0</v>
      </c>
      <c r="Q386" s="23">
        <v>0</v>
      </c>
      <c r="R386" s="23">
        <f t="shared" ref="R386:R392" si="6">SUM(O386:Q386)</f>
        <v>49</v>
      </c>
      <c r="S386" s="22">
        <v>2</v>
      </c>
      <c r="T386" s="20" t="s">
        <v>1615</v>
      </c>
    </row>
    <row r="387" spans="1:20" ht="23.25" customHeight="1" x14ac:dyDescent="0.25">
      <c r="A387" s="21" t="s">
        <v>1616</v>
      </c>
      <c r="B387" s="24">
        <v>2023</v>
      </c>
      <c r="C387" s="90" t="s">
        <v>21</v>
      </c>
      <c r="D387" s="24" t="s">
        <v>1567</v>
      </c>
      <c r="E387" s="30" t="s">
        <v>1617</v>
      </c>
      <c r="F387" s="31" t="s">
        <v>23</v>
      </c>
      <c r="G387" s="21" t="s">
        <v>33</v>
      </c>
      <c r="H387" s="38" t="s">
        <v>1618</v>
      </c>
      <c r="I387" s="39">
        <v>45237</v>
      </c>
      <c r="J387" s="39">
        <v>45237</v>
      </c>
      <c r="K387" s="24" t="s">
        <v>35</v>
      </c>
      <c r="L387" s="26">
        <v>0</v>
      </c>
      <c r="M387" s="87">
        <v>4.8</v>
      </c>
      <c r="N387" s="40">
        <v>0</v>
      </c>
      <c r="O387" s="25">
        <v>22</v>
      </c>
      <c r="P387" s="25">
        <v>0</v>
      </c>
      <c r="Q387" s="25">
        <v>0</v>
      </c>
      <c r="R387" s="25">
        <f t="shared" si="6"/>
        <v>22</v>
      </c>
      <c r="S387" s="24">
        <v>2</v>
      </c>
      <c r="T387" s="21" t="s">
        <v>472</v>
      </c>
    </row>
    <row r="388" spans="1:20" ht="23.25" customHeight="1" x14ac:dyDescent="0.25">
      <c r="A388" s="20" t="s">
        <v>1619</v>
      </c>
      <c r="B388" s="22">
        <v>2023</v>
      </c>
      <c r="C388" s="90" t="s">
        <v>21</v>
      </c>
      <c r="D388" s="22" t="s">
        <v>1620</v>
      </c>
      <c r="E388" s="27" t="s">
        <v>1621</v>
      </c>
      <c r="F388" s="29" t="s">
        <v>81</v>
      </c>
      <c r="G388" s="20" t="s">
        <v>68</v>
      </c>
      <c r="H388" s="36" t="s">
        <v>1622</v>
      </c>
      <c r="I388" s="37">
        <v>45239</v>
      </c>
      <c r="J388" s="37">
        <v>45240</v>
      </c>
      <c r="K388" s="22" t="s">
        <v>26</v>
      </c>
      <c r="L388" s="28">
        <v>0</v>
      </c>
      <c r="M388" s="86">
        <v>4.9000000000000004</v>
      </c>
      <c r="N388" s="41">
        <v>170</v>
      </c>
      <c r="O388" s="23">
        <v>39</v>
      </c>
      <c r="P388" s="23">
        <v>26</v>
      </c>
      <c r="Q388" s="23">
        <v>26</v>
      </c>
      <c r="R388" s="23">
        <f t="shared" si="6"/>
        <v>91</v>
      </c>
      <c r="S388" s="22">
        <v>8</v>
      </c>
      <c r="T388" s="20" t="s">
        <v>472</v>
      </c>
    </row>
    <row r="389" spans="1:20" ht="23.25" customHeight="1" x14ac:dyDescent="0.25">
      <c r="A389" s="21" t="s">
        <v>1623</v>
      </c>
      <c r="B389" s="24">
        <v>2023</v>
      </c>
      <c r="C389" s="90" t="s">
        <v>21</v>
      </c>
      <c r="D389" s="24" t="s">
        <v>1542</v>
      </c>
      <c r="E389" s="30" t="s">
        <v>1624</v>
      </c>
      <c r="F389" s="31" t="s">
        <v>81</v>
      </c>
      <c r="G389" s="21" t="s">
        <v>72</v>
      </c>
      <c r="H389" s="38" t="s">
        <v>1625</v>
      </c>
      <c r="I389" s="39">
        <v>45243</v>
      </c>
      <c r="J389" s="39">
        <v>45244</v>
      </c>
      <c r="K389" s="24" t="s">
        <v>35</v>
      </c>
      <c r="L389" s="26">
        <f>25649.92/4</f>
        <v>6412.48</v>
      </c>
      <c r="M389" s="87">
        <v>4.9000000000000004</v>
      </c>
      <c r="N389" s="40">
        <v>0</v>
      </c>
      <c r="O389" s="25">
        <v>0</v>
      </c>
      <c r="P389" s="25">
        <v>0</v>
      </c>
      <c r="Q389" s="25">
        <v>5</v>
      </c>
      <c r="R389" s="25">
        <f t="shared" si="6"/>
        <v>5</v>
      </c>
      <c r="S389" s="24">
        <v>16</v>
      </c>
      <c r="T389" s="32" t="s">
        <v>418</v>
      </c>
    </row>
    <row r="390" spans="1:20" ht="23.25" customHeight="1" x14ac:dyDescent="0.25">
      <c r="A390" s="20" t="s">
        <v>1626</v>
      </c>
      <c r="B390" s="22">
        <v>2023</v>
      </c>
      <c r="C390" s="90" t="s">
        <v>21</v>
      </c>
      <c r="D390" s="22" t="s">
        <v>1627</v>
      </c>
      <c r="E390" s="27" t="s">
        <v>1628</v>
      </c>
      <c r="F390" s="29" t="s">
        <v>62</v>
      </c>
      <c r="G390" s="20" t="s">
        <v>72</v>
      </c>
      <c r="H390" s="36" t="s">
        <v>1629</v>
      </c>
      <c r="I390" s="37">
        <v>45243</v>
      </c>
      <c r="J390" s="37">
        <v>45243</v>
      </c>
      <c r="K390" s="22" t="s">
        <v>35</v>
      </c>
      <c r="L390" s="28">
        <v>588.97</v>
      </c>
      <c r="M390" s="86">
        <v>4.9000000000000004</v>
      </c>
      <c r="N390" s="41">
        <v>170</v>
      </c>
      <c r="O390" s="23">
        <v>24</v>
      </c>
      <c r="P390" s="23">
        <v>157</v>
      </c>
      <c r="Q390" s="23">
        <v>0</v>
      </c>
      <c r="R390" s="23">
        <f t="shared" si="6"/>
        <v>181</v>
      </c>
      <c r="S390" s="22">
        <v>1</v>
      </c>
      <c r="T390" s="20" t="s">
        <v>74</v>
      </c>
    </row>
    <row r="391" spans="1:20" ht="23.25" customHeight="1" x14ac:dyDescent="0.25">
      <c r="A391" s="21" t="s">
        <v>1630</v>
      </c>
      <c r="B391" s="24">
        <v>2023</v>
      </c>
      <c r="C391" s="90" t="s">
        <v>21</v>
      </c>
      <c r="D391" s="24" t="s">
        <v>1542</v>
      </c>
      <c r="E391" s="30" t="s">
        <v>1631</v>
      </c>
      <c r="F391" s="31" t="s">
        <v>81</v>
      </c>
      <c r="G391" s="21" t="s">
        <v>72</v>
      </c>
      <c r="H391" s="38" t="s">
        <v>1632</v>
      </c>
      <c r="I391" s="39">
        <v>45246</v>
      </c>
      <c r="J391" s="39">
        <v>45247</v>
      </c>
      <c r="K391" s="24" t="s">
        <v>35</v>
      </c>
      <c r="L391" s="26">
        <f>25649.92/4</f>
        <v>6412.48</v>
      </c>
      <c r="M391" s="87">
        <v>4.7</v>
      </c>
      <c r="N391" s="40">
        <v>0</v>
      </c>
      <c r="O391" s="25">
        <v>0</v>
      </c>
      <c r="P391" s="25">
        <v>0</v>
      </c>
      <c r="Q391" s="25">
        <v>7</v>
      </c>
      <c r="R391" s="25">
        <f t="shared" si="6"/>
        <v>7</v>
      </c>
      <c r="S391" s="24">
        <v>16</v>
      </c>
      <c r="T391" s="32" t="s">
        <v>418</v>
      </c>
    </row>
    <row r="392" spans="1:20" ht="23.25" customHeight="1" x14ac:dyDescent="0.25">
      <c r="A392" s="20" t="s">
        <v>1633</v>
      </c>
      <c r="B392" s="22">
        <v>2023</v>
      </c>
      <c r="C392" s="90" t="s">
        <v>21</v>
      </c>
      <c r="D392" s="22" t="s">
        <v>1634</v>
      </c>
      <c r="E392" s="27" t="s">
        <v>1635</v>
      </c>
      <c r="F392" s="29" t="s">
        <v>23</v>
      </c>
      <c r="G392" s="20" t="s">
        <v>38</v>
      </c>
      <c r="H392" s="36" t="s">
        <v>1636</v>
      </c>
      <c r="I392" s="37">
        <v>45247</v>
      </c>
      <c r="J392" s="37">
        <v>45268</v>
      </c>
      <c r="K392" s="22" t="s">
        <v>35</v>
      </c>
      <c r="L392" s="28">
        <v>6412.48</v>
      </c>
      <c r="M392" s="86">
        <v>5</v>
      </c>
      <c r="N392" s="41">
        <v>9</v>
      </c>
      <c r="O392" s="23">
        <v>9</v>
      </c>
      <c r="P392" s="23">
        <v>0</v>
      </c>
      <c r="Q392" s="23">
        <v>0</v>
      </c>
      <c r="R392" s="23">
        <f t="shared" si="6"/>
        <v>9</v>
      </c>
      <c r="S392" s="22">
        <v>16</v>
      </c>
      <c r="T392" s="20" t="s">
        <v>1637</v>
      </c>
    </row>
    <row r="393" spans="1:20" ht="23.25" customHeight="1" x14ac:dyDescent="0.25">
      <c r="A393" s="21" t="s">
        <v>1638</v>
      </c>
      <c r="B393" s="24">
        <v>2023</v>
      </c>
      <c r="C393" s="90" t="s">
        <v>21</v>
      </c>
      <c r="D393" s="24" t="s">
        <v>1639</v>
      </c>
      <c r="E393" s="30" t="s">
        <v>1635</v>
      </c>
      <c r="F393" s="31" t="s">
        <v>23</v>
      </c>
      <c r="G393" s="21" t="s">
        <v>38</v>
      </c>
      <c r="H393" s="38" t="s">
        <v>1636</v>
      </c>
      <c r="I393" s="39">
        <v>45247</v>
      </c>
      <c r="J393" s="39">
        <v>45268</v>
      </c>
      <c r="K393" s="24" t="s">
        <v>35</v>
      </c>
      <c r="L393" s="26">
        <v>6412.48</v>
      </c>
      <c r="M393" s="87">
        <v>5</v>
      </c>
      <c r="N393" s="40">
        <v>9</v>
      </c>
      <c r="O393" s="25">
        <v>9</v>
      </c>
      <c r="P393" s="25">
        <v>0</v>
      </c>
      <c r="Q393" s="25">
        <v>0</v>
      </c>
      <c r="R393" s="25">
        <v>9</v>
      </c>
      <c r="S393" s="24">
        <v>16</v>
      </c>
      <c r="T393" s="21" t="s">
        <v>1637</v>
      </c>
    </row>
    <row r="394" spans="1:20" ht="23.25" customHeight="1" x14ac:dyDescent="0.25">
      <c r="A394" s="20" t="s">
        <v>1640</v>
      </c>
      <c r="B394" s="22">
        <v>2023</v>
      </c>
      <c r="C394" s="90" t="s">
        <v>21</v>
      </c>
      <c r="D394" s="22" t="s">
        <v>1542</v>
      </c>
      <c r="E394" s="27" t="s">
        <v>1641</v>
      </c>
      <c r="F394" s="29" t="s">
        <v>81</v>
      </c>
      <c r="G394" s="20" t="s">
        <v>72</v>
      </c>
      <c r="H394" s="36" t="s">
        <v>1642</v>
      </c>
      <c r="I394" s="37">
        <v>45251</v>
      </c>
      <c r="J394" s="37">
        <v>45252</v>
      </c>
      <c r="K394" s="22" t="s">
        <v>35</v>
      </c>
      <c r="L394" s="28">
        <f>25649.92/4</f>
        <v>6412.48</v>
      </c>
      <c r="M394" s="86">
        <v>4.9000000000000004</v>
      </c>
      <c r="N394" s="41">
        <v>0</v>
      </c>
      <c r="O394" s="23">
        <v>0</v>
      </c>
      <c r="P394" s="23">
        <v>0</v>
      </c>
      <c r="Q394" s="23">
        <v>31</v>
      </c>
      <c r="R394" s="23">
        <f t="shared" ref="R394:R457" si="7">SUM(O394:Q394)</f>
        <v>31</v>
      </c>
      <c r="S394" s="22">
        <v>16</v>
      </c>
      <c r="T394" s="33" t="s">
        <v>418</v>
      </c>
    </row>
    <row r="395" spans="1:20" ht="23.25" customHeight="1" x14ac:dyDescent="0.25">
      <c r="A395" s="21" t="s">
        <v>1643</v>
      </c>
      <c r="B395" s="24">
        <v>2023</v>
      </c>
      <c r="C395" s="90" t="s">
        <v>21</v>
      </c>
      <c r="D395" s="24" t="s">
        <v>1644</v>
      </c>
      <c r="E395" s="30" t="s">
        <v>1645</v>
      </c>
      <c r="F395" s="31" t="s">
        <v>23</v>
      </c>
      <c r="G395" s="21" t="s">
        <v>457</v>
      </c>
      <c r="H395" s="38" t="s">
        <v>1646</v>
      </c>
      <c r="I395" s="39">
        <v>45254</v>
      </c>
      <c r="J395" s="39">
        <v>45254</v>
      </c>
      <c r="K395" s="24" t="s">
        <v>26</v>
      </c>
      <c r="L395" s="26">
        <v>0</v>
      </c>
      <c r="M395" s="87">
        <v>5</v>
      </c>
      <c r="N395" s="40">
        <v>19</v>
      </c>
      <c r="O395" s="25">
        <v>19</v>
      </c>
      <c r="P395" s="25">
        <v>0</v>
      </c>
      <c r="Q395" s="25">
        <v>0</v>
      </c>
      <c r="R395" s="25">
        <f t="shared" si="7"/>
        <v>19</v>
      </c>
      <c r="S395" s="24">
        <v>2</v>
      </c>
      <c r="T395" s="21" t="s">
        <v>966</v>
      </c>
    </row>
    <row r="396" spans="1:20" ht="23.25" customHeight="1" x14ac:dyDescent="0.25">
      <c r="A396" s="20" t="s">
        <v>1647</v>
      </c>
      <c r="B396" s="22">
        <v>2023</v>
      </c>
      <c r="C396" s="90" t="s">
        <v>21</v>
      </c>
      <c r="D396" s="22" t="s">
        <v>1648</v>
      </c>
      <c r="E396" s="27" t="s">
        <v>1649</v>
      </c>
      <c r="F396" s="29" t="s">
        <v>62</v>
      </c>
      <c r="G396" s="20" t="s">
        <v>72</v>
      </c>
      <c r="H396" s="36" t="s">
        <v>1650</v>
      </c>
      <c r="I396" s="37">
        <v>45257</v>
      </c>
      <c r="J396" s="37">
        <v>45258</v>
      </c>
      <c r="K396" s="22" t="s">
        <v>35</v>
      </c>
      <c r="L396" s="28">
        <v>3000</v>
      </c>
      <c r="M396" s="86">
        <v>4.4000000000000004</v>
      </c>
      <c r="N396" s="41">
        <v>40</v>
      </c>
      <c r="O396" s="23">
        <v>3</v>
      </c>
      <c r="P396" s="23">
        <v>42</v>
      </c>
      <c r="Q396" s="23">
        <v>0</v>
      </c>
      <c r="R396" s="23">
        <f t="shared" si="7"/>
        <v>45</v>
      </c>
      <c r="S396" s="22">
        <v>8</v>
      </c>
      <c r="T396" s="20" t="s">
        <v>1472</v>
      </c>
    </row>
    <row r="397" spans="1:20" ht="23.25" customHeight="1" x14ac:dyDescent="0.25">
      <c r="A397" s="21" t="s">
        <v>1651</v>
      </c>
      <c r="B397" s="24">
        <v>2023</v>
      </c>
      <c r="C397" s="90" t="s">
        <v>21</v>
      </c>
      <c r="D397" s="24" t="s">
        <v>1652</v>
      </c>
      <c r="E397" s="30" t="s">
        <v>1653</v>
      </c>
      <c r="F397" s="31" t="s">
        <v>23</v>
      </c>
      <c r="G397" s="21" t="s">
        <v>199</v>
      </c>
      <c r="H397" s="38" t="s">
        <v>1654</v>
      </c>
      <c r="I397" s="39">
        <v>45257</v>
      </c>
      <c r="J397" s="39">
        <v>45257</v>
      </c>
      <c r="K397" s="24" t="s">
        <v>26</v>
      </c>
      <c r="L397" s="26">
        <v>5000</v>
      </c>
      <c r="M397" s="87">
        <v>5</v>
      </c>
      <c r="N397" s="40">
        <v>80</v>
      </c>
      <c r="O397" s="25">
        <v>0</v>
      </c>
      <c r="P397" s="25">
        <v>0</v>
      </c>
      <c r="Q397" s="25">
        <v>0</v>
      </c>
      <c r="R397" s="25">
        <f t="shared" si="7"/>
        <v>0</v>
      </c>
      <c r="S397" s="24">
        <v>2</v>
      </c>
      <c r="T397" s="21" t="s">
        <v>472</v>
      </c>
    </row>
    <row r="398" spans="1:20" ht="23.25" customHeight="1" x14ac:dyDescent="0.25">
      <c r="A398" s="20" t="s">
        <v>1655</v>
      </c>
      <c r="B398" s="22">
        <v>2023</v>
      </c>
      <c r="C398" s="90" t="s">
        <v>21</v>
      </c>
      <c r="D398" s="22" t="s">
        <v>1656</v>
      </c>
      <c r="E398" s="27" t="s">
        <v>1657</v>
      </c>
      <c r="F398" s="29" t="s">
        <v>23</v>
      </c>
      <c r="G398" s="20" t="s">
        <v>72</v>
      </c>
      <c r="H398" s="36" t="s">
        <v>1658</v>
      </c>
      <c r="I398" s="37">
        <v>45264</v>
      </c>
      <c r="J398" s="37">
        <v>45265</v>
      </c>
      <c r="K398" s="22" t="s">
        <v>26</v>
      </c>
      <c r="L398" s="28">
        <v>0</v>
      </c>
      <c r="M398" s="86">
        <v>4.8</v>
      </c>
      <c r="N398" s="41">
        <v>170</v>
      </c>
      <c r="O398" s="23">
        <v>22</v>
      </c>
      <c r="P398" s="23">
        <v>46</v>
      </c>
      <c r="Q398" s="23">
        <v>17</v>
      </c>
      <c r="R398" s="23">
        <f t="shared" si="7"/>
        <v>85</v>
      </c>
      <c r="S398" s="22">
        <v>8</v>
      </c>
      <c r="T398" s="20" t="s">
        <v>472</v>
      </c>
    </row>
    <row r="399" spans="1:20" ht="23.25" customHeight="1" x14ac:dyDescent="0.25">
      <c r="A399" s="21" t="s">
        <v>1659</v>
      </c>
      <c r="B399" s="24">
        <v>2023</v>
      </c>
      <c r="C399" s="90" t="s">
        <v>21</v>
      </c>
      <c r="D399" s="24" t="s">
        <v>1660</v>
      </c>
      <c r="E399" s="30" t="s">
        <v>1661</v>
      </c>
      <c r="F399" s="31" t="s">
        <v>23</v>
      </c>
      <c r="G399" s="21" t="s">
        <v>24</v>
      </c>
      <c r="H399" s="38" t="s">
        <v>1662</v>
      </c>
      <c r="I399" s="39">
        <v>45264</v>
      </c>
      <c r="J399" s="39">
        <v>45264</v>
      </c>
      <c r="K399" s="24" t="s">
        <v>26</v>
      </c>
      <c r="L399" s="26">
        <v>0</v>
      </c>
      <c r="M399" s="87">
        <v>5</v>
      </c>
      <c r="N399" s="40">
        <v>40</v>
      </c>
      <c r="O399" s="25">
        <v>7</v>
      </c>
      <c r="P399" s="25">
        <v>0</v>
      </c>
      <c r="Q399" s="25">
        <v>0</v>
      </c>
      <c r="R399" s="25">
        <f t="shared" si="7"/>
        <v>7</v>
      </c>
      <c r="S399" s="24">
        <v>1</v>
      </c>
      <c r="T399" s="21" t="s">
        <v>1663</v>
      </c>
    </row>
    <row r="400" spans="1:20" ht="23.25" customHeight="1" x14ac:dyDescent="0.25">
      <c r="A400" s="20" t="s">
        <v>1664</v>
      </c>
      <c r="B400" s="22">
        <v>2023</v>
      </c>
      <c r="C400" s="90" t="s">
        <v>21</v>
      </c>
      <c r="D400" s="22" t="s">
        <v>1665</v>
      </c>
      <c r="E400" s="27" t="s">
        <v>1666</v>
      </c>
      <c r="F400" s="29" t="s">
        <v>23</v>
      </c>
      <c r="G400" s="20"/>
      <c r="H400" s="50">
        <v>45089</v>
      </c>
      <c r="I400" s="37">
        <v>45266</v>
      </c>
      <c r="J400" s="37">
        <v>45266</v>
      </c>
      <c r="K400" s="22" t="s">
        <v>35</v>
      </c>
      <c r="L400" s="28">
        <v>0</v>
      </c>
      <c r="M400" s="86">
        <v>5</v>
      </c>
      <c r="N400" s="41">
        <v>20</v>
      </c>
      <c r="O400" s="23">
        <v>30</v>
      </c>
      <c r="P400" s="23"/>
      <c r="Q400" s="23"/>
      <c r="R400" s="23">
        <f t="shared" si="7"/>
        <v>30</v>
      </c>
      <c r="S400" s="22">
        <v>4</v>
      </c>
      <c r="T400" s="20"/>
    </row>
    <row r="401" spans="1:20" ht="23.25" customHeight="1" x14ac:dyDescent="0.25">
      <c r="A401" s="21" t="s">
        <v>1667</v>
      </c>
      <c r="B401" s="24">
        <v>2023</v>
      </c>
      <c r="C401" s="90" t="s">
        <v>21</v>
      </c>
      <c r="D401" s="24" t="s">
        <v>1668</v>
      </c>
      <c r="E401" s="30" t="s">
        <v>1669</v>
      </c>
      <c r="F401" s="31" t="s">
        <v>23</v>
      </c>
      <c r="G401" s="21" t="s">
        <v>38</v>
      </c>
      <c r="H401" s="38" t="s">
        <v>1670</v>
      </c>
      <c r="I401" s="39">
        <v>45267</v>
      </c>
      <c r="J401" s="39">
        <v>45267</v>
      </c>
      <c r="K401" s="24" t="s">
        <v>26</v>
      </c>
      <c r="L401" s="26">
        <v>0</v>
      </c>
      <c r="M401" s="87">
        <v>5</v>
      </c>
      <c r="N401" s="40">
        <v>0</v>
      </c>
      <c r="O401" s="25">
        <v>62</v>
      </c>
      <c r="P401" s="25">
        <v>0</v>
      </c>
      <c r="Q401" s="25">
        <v>0</v>
      </c>
      <c r="R401" s="25">
        <f t="shared" si="7"/>
        <v>62</v>
      </c>
      <c r="S401" s="24">
        <v>1.5</v>
      </c>
      <c r="T401" s="21" t="s">
        <v>1671</v>
      </c>
    </row>
    <row r="402" spans="1:20" ht="23.25" customHeight="1" x14ac:dyDescent="0.25">
      <c r="A402" s="20" t="s">
        <v>1672</v>
      </c>
      <c r="B402" s="22">
        <v>2023</v>
      </c>
      <c r="C402" s="90" t="s">
        <v>21</v>
      </c>
      <c r="D402" s="22" t="s">
        <v>1673</v>
      </c>
      <c r="E402" s="27" t="s">
        <v>1674</v>
      </c>
      <c r="F402" s="29" t="s">
        <v>81</v>
      </c>
      <c r="G402" s="20" t="s">
        <v>72</v>
      </c>
      <c r="H402" s="36" t="s">
        <v>1675</v>
      </c>
      <c r="I402" s="37">
        <v>45268</v>
      </c>
      <c r="J402" s="37">
        <v>45268</v>
      </c>
      <c r="K402" s="22" t="s">
        <v>35</v>
      </c>
      <c r="L402" s="28">
        <v>1603.12</v>
      </c>
      <c r="M402" s="86">
        <v>5</v>
      </c>
      <c r="N402" s="41">
        <v>170</v>
      </c>
      <c r="O402" s="23">
        <v>0</v>
      </c>
      <c r="P402" s="23">
        <v>0</v>
      </c>
      <c r="Q402" s="23">
        <v>68</v>
      </c>
      <c r="R402" s="23">
        <f t="shared" si="7"/>
        <v>68</v>
      </c>
      <c r="S402" s="22">
        <v>4</v>
      </c>
      <c r="T402" s="20" t="s">
        <v>1676</v>
      </c>
    </row>
    <row r="403" spans="1:20" ht="23.25" customHeight="1" x14ac:dyDescent="0.25">
      <c r="A403" s="21" t="s">
        <v>1677</v>
      </c>
      <c r="B403" s="24">
        <v>2023</v>
      </c>
      <c r="C403" s="90" t="s">
        <v>21</v>
      </c>
      <c r="D403" s="24" t="s">
        <v>1678</v>
      </c>
      <c r="E403" s="34" t="s">
        <v>1679</v>
      </c>
      <c r="F403" s="31" t="s">
        <v>23</v>
      </c>
      <c r="G403" s="21" t="s">
        <v>33</v>
      </c>
      <c r="H403" s="38" t="s">
        <v>1680</v>
      </c>
      <c r="I403" s="39">
        <v>45275</v>
      </c>
      <c r="J403" s="39">
        <v>45275</v>
      </c>
      <c r="K403" s="24" t="s">
        <v>35</v>
      </c>
      <c r="L403" s="26"/>
      <c r="M403" s="87"/>
      <c r="N403" s="40">
        <v>2</v>
      </c>
      <c r="O403" s="25">
        <v>2</v>
      </c>
      <c r="P403" s="25">
        <v>0</v>
      </c>
      <c r="Q403" s="25">
        <v>0</v>
      </c>
      <c r="R403" s="25">
        <f t="shared" si="7"/>
        <v>2</v>
      </c>
      <c r="S403" s="24">
        <v>48</v>
      </c>
      <c r="T403" s="21" t="s">
        <v>211</v>
      </c>
    </row>
    <row r="404" spans="1:20" ht="23.25" customHeight="1" x14ac:dyDescent="0.25">
      <c r="A404" s="20" t="s">
        <v>1681</v>
      </c>
      <c r="B404" s="22">
        <v>2024</v>
      </c>
      <c r="C404" s="90" t="s">
        <v>21</v>
      </c>
      <c r="D404" s="22" t="s">
        <v>1682</v>
      </c>
      <c r="E404" s="27" t="s">
        <v>1683</v>
      </c>
      <c r="F404" s="29" t="s">
        <v>62</v>
      </c>
      <c r="G404" s="20" t="s">
        <v>72</v>
      </c>
      <c r="H404" s="36" t="s">
        <v>1684</v>
      </c>
      <c r="I404" s="37">
        <v>45342</v>
      </c>
      <c r="J404" s="37">
        <v>45351</v>
      </c>
      <c r="K404" s="22" t="s">
        <v>35</v>
      </c>
      <c r="L404" s="28">
        <v>12295.13</v>
      </c>
      <c r="M404" s="86">
        <v>4.4800000000000004</v>
      </c>
      <c r="N404" s="41">
        <v>40</v>
      </c>
      <c r="O404" s="23">
        <v>6</v>
      </c>
      <c r="P404" s="23">
        <v>30</v>
      </c>
      <c r="Q404" s="23">
        <v>0</v>
      </c>
      <c r="R404" s="23">
        <f t="shared" si="7"/>
        <v>36</v>
      </c>
      <c r="S404" s="22">
        <v>16</v>
      </c>
      <c r="T404" s="20" t="s">
        <v>1685</v>
      </c>
    </row>
    <row r="405" spans="1:20" ht="23.25" customHeight="1" x14ac:dyDescent="0.25">
      <c r="A405" s="21" t="s">
        <v>1686</v>
      </c>
      <c r="B405" s="24">
        <v>2024</v>
      </c>
      <c r="C405" s="90" t="s">
        <v>21</v>
      </c>
      <c r="D405" s="24" t="s">
        <v>1687</v>
      </c>
      <c r="E405" s="30" t="s">
        <v>1688</v>
      </c>
      <c r="F405" s="31" t="s">
        <v>23</v>
      </c>
      <c r="G405" s="21" t="s">
        <v>38</v>
      </c>
      <c r="H405" s="38" t="s">
        <v>1689</v>
      </c>
      <c r="I405" s="39">
        <v>45344</v>
      </c>
      <c r="J405" s="39">
        <v>45359</v>
      </c>
      <c r="K405" s="24" t="s">
        <v>26</v>
      </c>
      <c r="L405" s="26">
        <v>24800</v>
      </c>
      <c r="M405" s="87">
        <v>4.5999999999999996</v>
      </c>
      <c r="N405" s="40">
        <v>30</v>
      </c>
      <c r="O405" s="25">
        <v>14</v>
      </c>
      <c r="P405" s="25">
        <v>0</v>
      </c>
      <c r="Q405" s="25">
        <v>0</v>
      </c>
      <c r="R405" s="25">
        <f t="shared" si="7"/>
        <v>14</v>
      </c>
      <c r="S405" s="24">
        <v>16</v>
      </c>
      <c r="T405" s="21" t="s">
        <v>1456</v>
      </c>
    </row>
    <row r="406" spans="1:20" ht="23.25" customHeight="1" x14ac:dyDescent="0.25">
      <c r="A406" s="20" t="s">
        <v>1690</v>
      </c>
      <c r="B406" s="22">
        <v>2024</v>
      </c>
      <c r="C406" s="90" t="s">
        <v>21</v>
      </c>
      <c r="D406" s="22" t="s">
        <v>1691</v>
      </c>
      <c r="E406" s="27" t="s">
        <v>1692</v>
      </c>
      <c r="F406" s="29" t="s">
        <v>81</v>
      </c>
      <c r="G406" s="20" t="s">
        <v>72</v>
      </c>
      <c r="H406" s="36" t="s">
        <v>1693</v>
      </c>
      <c r="I406" s="37">
        <v>45352</v>
      </c>
      <c r="J406" s="37">
        <v>45629</v>
      </c>
      <c r="K406" s="22" t="s">
        <v>35</v>
      </c>
      <c r="L406" s="28">
        <v>0</v>
      </c>
      <c r="M406" s="86"/>
      <c r="N406" s="41">
        <v>44</v>
      </c>
      <c r="O406" s="23">
        <v>0</v>
      </c>
      <c r="P406" s="23">
        <v>0</v>
      </c>
      <c r="Q406" s="23">
        <v>44</v>
      </c>
      <c r="R406" s="23">
        <f t="shared" si="7"/>
        <v>44</v>
      </c>
      <c r="S406" s="22">
        <v>5</v>
      </c>
      <c r="T406" s="54" t="s">
        <v>1694</v>
      </c>
    </row>
    <row r="407" spans="1:20" ht="23.25" customHeight="1" x14ac:dyDescent="0.25">
      <c r="A407" s="21" t="s">
        <v>1695</v>
      </c>
      <c r="B407" s="24">
        <v>2024</v>
      </c>
      <c r="C407" s="90" t="s">
        <v>21</v>
      </c>
      <c r="D407" s="24" t="s">
        <v>1696</v>
      </c>
      <c r="E407" s="30" t="s">
        <v>1697</v>
      </c>
      <c r="F407" s="31" t="s">
        <v>62</v>
      </c>
      <c r="G407" s="21" t="s">
        <v>72</v>
      </c>
      <c r="H407" s="38" t="s">
        <v>1698</v>
      </c>
      <c r="I407" s="39">
        <v>45355</v>
      </c>
      <c r="J407" s="39">
        <v>45359</v>
      </c>
      <c r="K407" s="24" t="s">
        <v>35</v>
      </c>
      <c r="L407" s="26">
        <v>11779.56</v>
      </c>
      <c r="M407" s="87">
        <v>4.8600000000000003</v>
      </c>
      <c r="N407" s="40">
        <v>20</v>
      </c>
      <c r="O407" s="25">
        <v>6</v>
      </c>
      <c r="P407" s="25">
        <v>20</v>
      </c>
      <c r="Q407" s="25">
        <v>0</v>
      </c>
      <c r="R407" s="25">
        <f t="shared" si="7"/>
        <v>26</v>
      </c>
      <c r="S407" s="24">
        <v>20</v>
      </c>
      <c r="T407" s="21" t="s">
        <v>74</v>
      </c>
    </row>
    <row r="408" spans="1:20" ht="23.25" customHeight="1" x14ac:dyDescent="0.25">
      <c r="A408" s="20" t="s">
        <v>1699</v>
      </c>
      <c r="B408" s="22">
        <v>2024</v>
      </c>
      <c r="C408" s="90" t="s">
        <v>21</v>
      </c>
      <c r="D408" s="22" t="s">
        <v>1700</v>
      </c>
      <c r="E408" s="27" t="s">
        <v>1701</v>
      </c>
      <c r="F408" s="29" t="s">
        <v>23</v>
      </c>
      <c r="G408" s="20" t="s">
        <v>38</v>
      </c>
      <c r="H408" s="36" t="s">
        <v>1702</v>
      </c>
      <c r="I408" s="37">
        <v>45356</v>
      </c>
      <c r="J408" s="37">
        <v>45365</v>
      </c>
      <c r="K408" s="22" t="s">
        <v>35</v>
      </c>
      <c r="L408" s="28">
        <v>11542.3</v>
      </c>
      <c r="M408" s="86">
        <v>4.92</v>
      </c>
      <c r="N408" s="41">
        <v>20</v>
      </c>
      <c r="O408" s="23">
        <v>23</v>
      </c>
      <c r="P408" s="23">
        <v>0</v>
      </c>
      <c r="Q408" s="23">
        <v>0</v>
      </c>
      <c r="R408" s="23">
        <f t="shared" si="7"/>
        <v>23</v>
      </c>
      <c r="S408" s="22">
        <v>16</v>
      </c>
      <c r="T408" s="20" t="s">
        <v>1703</v>
      </c>
    </row>
    <row r="409" spans="1:20" ht="23.25" customHeight="1" x14ac:dyDescent="0.25">
      <c r="A409" s="21" t="s">
        <v>1704</v>
      </c>
      <c r="B409" s="24">
        <v>2024</v>
      </c>
      <c r="C409" s="90" t="s">
        <v>21</v>
      </c>
      <c r="D409" s="24" t="s">
        <v>1705</v>
      </c>
      <c r="E409" s="30" t="s">
        <v>1706</v>
      </c>
      <c r="F409" s="31" t="s">
        <v>23</v>
      </c>
      <c r="G409" s="21" t="s">
        <v>199</v>
      </c>
      <c r="H409" s="38" t="s">
        <v>1707</v>
      </c>
      <c r="I409" s="39">
        <v>45359</v>
      </c>
      <c r="J409" s="39">
        <v>45359</v>
      </c>
      <c r="K409" s="24" t="s">
        <v>26</v>
      </c>
      <c r="L409" s="26">
        <v>18000</v>
      </c>
      <c r="M409" s="87"/>
      <c r="N409" s="40"/>
      <c r="O409" s="25"/>
      <c r="P409" s="25"/>
      <c r="Q409" s="25">
        <v>20</v>
      </c>
      <c r="R409" s="25">
        <f t="shared" si="7"/>
        <v>20</v>
      </c>
      <c r="S409" s="24">
        <v>2</v>
      </c>
      <c r="T409" s="21" t="s">
        <v>1708</v>
      </c>
    </row>
    <row r="410" spans="1:20" ht="23.25" customHeight="1" x14ac:dyDescent="0.25">
      <c r="A410" s="20" t="s">
        <v>1709</v>
      </c>
      <c r="B410" s="22">
        <v>2024</v>
      </c>
      <c r="C410" s="90" t="s">
        <v>21</v>
      </c>
      <c r="D410" s="22" t="s">
        <v>1710</v>
      </c>
      <c r="E410" s="27" t="s">
        <v>1711</v>
      </c>
      <c r="F410" s="29" t="s">
        <v>23</v>
      </c>
      <c r="G410" s="20" t="s">
        <v>199</v>
      </c>
      <c r="H410" s="36" t="s">
        <v>1707</v>
      </c>
      <c r="I410" s="37">
        <v>45359</v>
      </c>
      <c r="J410" s="37">
        <v>45359</v>
      </c>
      <c r="K410" s="22"/>
      <c r="L410" s="28"/>
      <c r="M410" s="86"/>
      <c r="N410" s="41"/>
      <c r="O410" s="23">
        <v>0</v>
      </c>
      <c r="P410" s="23">
        <v>0</v>
      </c>
      <c r="Q410" s="23">
        <v>0</v>
      </c>
      <c r="R410" s="23">
        <f t="shared" si="7"/>
        <v>0</v>
      </c>
      <c r="S410" s="22"/>
      <c r="T410" s="20"/>
    </row>
    <row r="411" spans="1:20" ht="23.25" customHeight="1" x14ac:dyDescent="0.25">
      <c r="A411" s="21" t="s">
        <v>1712</v>
      </c>
      <c r="B411" s="24">
        <v>2024</v>
      </c>
      <c r="C411" s="90" t="s">
        <v>21</v>
      </c>
      <c r="D411" s="24" t="s">
        <v>1713</v>
      </c>
      <c r="E411" s="30" t="s">
        <v>1714</v>
      </c>
      <c r="F411" s="31" t="s">
        <v>23</v>
      </c>
      <c r="G411" s="21" t="s">
        <v>199</v>
      </c>
      <c r="H411" s="38" t="s">
        <v>1715</v>
      </c>
      <c r="I411" s="39">
        <v>45363</v>
      </c>
      <c r="J411" s="39">
        <v>45372</v>
      </c>
      <c r="K411" s="24" t="s">
        <v>35</v>
      </c>
      <c r="L411" s="26">
        <v>8336.2199999999993</v>
      </c>
      <c r="M411" s="87">
        <v>4.8600000000000003</v>
      </c>
      <c r="N411" s="40">
        <v>20</v>
      </c>
      <c r="O411" s="25">
        <v>16</v>
      </c>
      <c r="P411" s="25">
        <v>0</v>
      </c>
      <c r="Q411" s="25">
        <v>0</v>
      </c>
      <c r="R411" s="25">
        <f t="shared" si="7"/>
        <v>16</v>
      </c>
      <c r="S411" s="24">
        <v>16</v>
      </c>
      <c r="T411" s="21" t="s">
        <v>1716</v>
      </c>
    </row>
    <row r="412" spans="1:20" ht="23.25" customHeight="1" x14ac:dyDescent="0.25">
      <c r="A412" s="20" t="s">
        <v>1717</v>
      </c>
      <c r="B412" s="22">
        <v>2024</v>
      </c>
      <c r="C412" s="90" t="s">
        <v>21</v>
      </c>
      <c r="D412" s="22" t="s">
        <v>1718</v>
      </c>
      <c r="E412" s="27" t="s">
        <v>1719</v>
      </c>
      <c r="F412" s="29" t="s">
        <v>81</v>
      </c>
      <c r="G412" s="20" t="s">
        <v>72</v>
      </c>
      <c r="H412" s="36" t="s">
        <v>1720</v>
      </c>
      <c r="I412" s="37">
        <v>45369</v>
      </c>
      <c r="J412" s="37">
        <v>45373</v>
      </c>
      <c r="K412" s="22" t="s">
        <v>35</v>
      </c>
      <c r="L412" s="28">
        <v>10420.280000000001</v>
      </c>
      <c r="M412" s="86">
        <v>4.8</v>
      </c>
      <c r="N412" s="41">
        <v>40</v>
      </c>
      <c r="O412" s="23">
        <v>0</v>
      </c>
      <c r="P412" s="23">
        <v>0</v>
      </c>
      <c r="Q412" s="23">
        <v>44</v>
      </c>
      <c r="R412" s="23">
        <f t="shared" si="7"/>
        <v>44</v>
      </c>
      <c r="S412" s="22">
        <v>20</v>
      </c>
      <c r="T412" s="20" t="s">
        <v>418</v>
      </c>
    </row>
    <row r="413" spans="1:20" ht="23.25" customHeight="1" x14ac:dyDescent="0.25">
      <c r="A413" s="21" t="s">
        <v>1721</v>
      </c>
      <c r="B413" s="24">
        <v>2024</v>
      </c>
      <c r="C413" s="90" t="s">
        <v>21</v>
      </c>
      <c r="D413" s="24" t="s">
        <v>1722</v>
      </c>
      <c r="E413" s="30" t="s">
        <v>1723</v>
      </c>
      <c r="F413" s="31" t="s">
        <v>62</v>
      </c>
      <c r="G413" s="21" t="s">
        <v>72</v>
      </c>
      <c r="H413" s="38" t="s">
        <v>1724</v>
      </c>
      <c r="I413" s="39">
        <v>45370</v>
      </c>
      <c r="J413" s="39">
        <v>45370</v>
      </c>
      <c r="K413" s="24" t="s">
        <v>35</v>
      </c>
      <c r="L413" s="26">
        <v>0</v>
      </c>
      <c r="M413" s="87">
        <v>4.92</v>
      </c>
      <c r="N413" s="40">
        <v>160</v>
      </c>
      <c r="O413" s="25">
        <v>40</v>
      </c>
      <c r="P413" s="25">
        <v>65</v>
      </c>
      <c r="Q413" s="25">
        <v>0</v>
      </c>
      <c r="R413" s="25">
        <f t="shared" si="7"/>
        <v>105</v>
      </c>
      <c r="S413" s="24">
        <v>4</v>
      </c>
      <c r="T413" s="21" t="s">
        <v>1725</v>
      </c>
    </row>
    <row r="414" spans="1:20" ht="23.25" customHeight="1" x14ac:dyDescent="0.25">
      <c r="A414" s="20" t="s">
        <v>1726</v>
      </c>
      <c r="B414" s="22">
        <v>2024</v>
      </c>
      <c r="C414" s="90" t="s">
        <v>21</v>
      </c>
      <c r="D414" s="22" t="s">
        <v>1727</v>
      </c>
      <c r="E414" s="27" t="s">
        <v>1728</v>
      </c>
      <c r="F414" s="29" t="s">
        <v>23</v>
      </c>
      <c r="G414" s="20" t="s">
        <v>1729</v>
      </c>
      <c r="H414" s="50" t="s">
        <v>1730</v>
      </c>
      <c r="I414" s="37">
        <v>45373</v>
      </c>
      <c r="J414" s="37">
        <v>45373</v>
      </c>
      <c r="K414" s="22" t="s">
        <v>26</v>
      </c>
      <c r="L414" s="28">
        <v>1199.1600000000001</v>
      </c>
      <c r="M414" s="86">
        <v>4.8600000000000003</v>
      </c>
      <c r="N414" s="41">
        <v>50</v>
      </c>
      <c r="O414" s="23">
        <v>50</v>
      </c>
      <c r="P414" s="23">
        <v>0</v>
      </c>
      <c r="Q414" s="23">
        <v>0</v>
      </c>
      <c r="R414" s="23">
        <f t="shared" si="7"/>
        <v>50</v>
      </c>
      <c r="S414" s="22">
        <v>4</v>
      </c>
      <c r="T414" s="20" t="s">
        <v>1731</v>
      </c>
    </row>
    <row r="415" spans="1:20" ht="23.25" customHeight="1" x14ac:dyDescent="0.25">
      <c r="A415" s="21" t="s">
        <v>1732</v>
      </c>
      <c r="B415" s="24">
        <v>2024</v>
      </c>
      <c r="C415" s="90" t="s">
        <v>21</v>
      </c>
      <c r="D415" s="24" t="s">
        <v>1733</v>
      </c>
      <c r="E415" s="30" t="s">
        <v>1734</v>
      </c>
      <c r="F415" s="31" t="s">
        <v>23</v>
      </c>
      <c r="G415" s="21" t="s">
        <v>38</v>
      </c>
      <c r="H415" s="38" t="s">
        <v>1735</v>
      </c>
      <c r="I415" s="39">
        <v>45383</v>
      </c>
      <c r="J415" s="39">
        <v>45387</v>
      </c>
      <c r="K415" s="24" t="s">
        <v>26</v>
      </c>
      <c r="L415" s="26">
        <v>15444.87</v>
      </c>
      <c r="M415" s="87">
        <v>4.7</v>
      </c>
      <c r="N415" s="40">
        <v>30</v>
      </c>
      <c r="O415" s="25">
        <v>25</v>
      </c>
      <c r="P415" s="25">
        <v>0</v>
      </c>
      <c r="Q415" s="25">
        <v>0</v>
      </c>
      <c r="R415" s="25">
        <f t="shared" si="7"/>
        <v>25</v>
      </c>
      <c r="S415" s="24">
        <v>20</v>
      </c>
      <c r="T415" s="21" t="s">
        <v>1216</v>
      </c>
    </row>
    <row r="416" spans="1:20" ht="23.25" customHeight="1" x14ac:dyDescent="0.25">
      <c r="A416" s="20" t="s">
        <v>1736</v>
      </c>
      <c r="B416" s="22">
        <v>2024</v>
      </c>
      <c r="C416" s="90" t="s">
        <v>21</v>
      </c>
      <c r="D416" s="22" t="s">
        <v>1737</v>
      </c>
      <c r="E416" s="27" t="s">
        <v>1738</v>
      </c>
      <c r="F416" s="29" t="s">
        <v>23</v>
      </c>
      <c r="G416" s="20" t="s">
        <v>199</v>
      </c>
      <c r="H416" s="36" t="s">
        <v>1739</v>
      </c>
      <c r="I416" s="37">
        <v>45383</v>
      </c>
      <c r="J416" s="37">
        <v>45392</v>
      </c>
      <c r="K416" s="22" t="s">
        <v>35</v>
      </c>
      <c r="L416" s="28">
        <v>10420.280000000001</v>
      </c>
      <c r="M416" s="86">
        <v>5</v>
      </c>
      <c r="N416" s="41">
        <v>20</v>
      </c>
      <c r="O416" s="23">
        <v>9</v>
      </c>
      <c r="P416" s="23">
        <v>0</v>
      </c>
      <c r="Q416" s="23">
        <v>0</v>
      </c>
      <c r="R416" s="23">
        <f t="shared" si="7"/>
        <v>9</v>
      </c>
      <c r="S416" s="22">
        <v>20</v>
      </c>
      <c r="T416" s="20" t="s">
        <v>1716</v>
      </c>
    </row>
    <row r="417" spans="1:20" ht="23.25" customHeight="1" x14ac:dyDescent="0.25">
      <c r="A417" s="21" t="s">
        <v>1740</v>
      </c>
      <c r="B417" s="24">
        <v>2024</v>
      </c>
      <c r="C417" s="90" t="s">
        <v>21</v>
      </c>
      <c r="D417" s="24" t="s">
        <v>1741</v>
      </c>
      <c r="E417" s="30" t="s">
        <v>1742</v>
      </c>
      <c r="F417" s="31" t="s">
        <v>81</v>
      </c>
      <c r="G417" s="21" t="s">
        <v>72</v>
      </c>
      <c r="H417" s="38" t="s">
        <v>1735</v>
      </c>
      <c r="I417" s="39">
        <v>45383</v>
      </c>
      <c r="J417" s="39">
        <v>45387</v>
      </c>
      <c r="K417" s="24" t="s">
        <v>35</v>
      </c>
      <c r="L417" s="26">
        <v>8464.48</v>
      </c>
      <c r="M417" s="87">
        <v>4.5</v>
      </c>
      <c r="N417" s="40">
        <v>30</v>
      </c>
      <c r="O417" s="25">
        <v>1</v>
      </c>
      <c r="P417" s="25">
        <v>0</v>
      </c>
      <c r="Q417" s="25">
        <v>24</v>
      </c>
      <c r="R417" s="25">
        <f t="shared" si="7"/>
        <v>25</v>
      </c>
      <c r="S417" s="24">
        <v>16</v>
      </c>
      <c r="T417" s="21" t="s">
        <v>1743</v>
      </c>
    </row>
    <row r="418" spans="1:20" ht="23.25" customHeight="1" x14ac:dyDescent="0.25">
      <c r="A418" s="20" t="s">
        <v>1744</v>
      </c>
      <c r="B418" s="22">
        <v>2024</v>
      </c>
      <c r="C418" s="90" t="s">
        <v>21</v>
      </c>
      <c r="D418" s="22" t="s">
        <v>1745</v>
      </c>
      <c r="E418" s="27" t="s">
        <v>1746</v>
      </c>
      <c r="F418" s="29" t="s">
        <v>23</v>
      </c>
      <c r="G418" s="20" t="s">
        <v>24</v>
      </c>
      <c r="H418" s="36" t="s">
        <v>1747</v>
      </c>
      <c r="I418" s="37">
        <v>45384</v>
      </c>
      <c r="J418" s="37">
        <v>45435</v>
      </c>
      <c r="K418" s="22" t="s">
        <v>26</v>
      </c>
      <c r="L418" s="28">
        <v>17000</v>
      </c>
      <c r="M418" s="86">
        <v>4.5999999999999996</v>
      </c>
      <c r="N418" s="41">
        <v>4</v>
      </c>
      <c r="O418" s="23">
        <v>13</v>
      </c>
      <c r="P418" s="23">
        <v>0</v>
      </c>
      <c r="Q418" s="23">
        <v>0</v>
      </c>
      <c r="R418" s="23">
        <f t="shared" si="7"/>
        <v>13</v>
      </c>
      <c r="S418" s="22">
        <v>19</v>
      </c>
      <c r="T418" s="20" t="s">
        <v>1748</v>
      </c>
    </row>
    <row r="419" spans="1:20" ht="23.25" customHeight="1" x14ac:dyDescent="0.25">
      <c r="A419" s="21" t="s">
        <v>1749</v>
      </c>
      <c r="B419" s="24">
        <v>2024</v>
      </c>
      <c r="C419" s="90" t="s">
        <v>21</v>
      </c>
      <c r="D419" s="24" t="s">
        <v>1727</v>
      </c>
      <c r="E419" s="30" t="s">
        <v>1750</v>
      </c>
      <c r="F419" s="31" t="s">
        <v>23</v>
      </c>
      <c r="G419" s="21" t="s">
        <v>1729</v>
      </c>
      <c r="H419" s="38" t="s">
        <v>1751</v>
      </c>
      <c r="I419" s="39">
        <v>45387</v>
      </c>
      <c r="J419" s="39">
        <v>45408</v>
      </c>
      <c r="K419" s="24" t="s">
        <v>26</v>
      </c>
      <c r="L419" s="26">
        <f>1199.16*4</f>
        <v>4796.6400000000003</v>
      </c>
      <c r="M419" s="87">
        <v>4.9000000000000004</v>
      </c>
      <c r="N419" s="40">
        <v>40</v>
      </c>
      <c r="O419" s="25">
        <v>49</v>
      </c>
      <c r="P419" s="25">
        <v>0</v>
      </c>
      <c r="Q419" s="25">
        <v>0</v>
      </c>
      <c r="R419" s="25">
        <f t="shared" si="7"/>
        <v>49</v>
      </c>
      <c r="S419" s="24">
        <v>16</v>
      </c>
      <c r="T419" s="21" t="s">
        <v>1752</v>
      </c>
    </row>
    <row r="420" spans="1:20" ht="23.25" customHeight="1" x14ac:dyDescent="0.25">
      <c r="A420" s="20" t="s">
        <v>1753</v>
      </c>
      <c r="B420" s="22">
        <v>2024</v>
      </c>
      <c r="C420" s="90" t="s">
        <v>21</v>
      </c>
      <c r="D420" s="22" t="s">
        <v>1754</v>
      </c>
      <c r="E420" s="27" t="s">
        <v>1755</v>
      </c>
      <c r="F420" s="29" t="s">
        <v>23</v>
      </c>
      <c r="G420" s="20" t="s">
        <v>199</v>
      </c>
      <c r="H420" s="36" t="s">
        <v>1756</v>
      </c>
      <c r="I420" s="37">
        <v>45387</v>
      </c>
      <c r="J420" s="37">
        <v>45387</v>
      </c>
      <c r="K420" s="22" t="s">
        <v>35</v>
      </c>
      <c r="L420" s="28">
        <v>1042.02</v>
      </c>
      <c r="M420" s="86">
        <v>5</v>
      </c>
      <c r="N420" s="41">
        <v>170</v>
      </c>
      <c r="O420" s="23">
        <v>0</v>
      </c>
      <c r="P420" s="23">
        <v>0</v>
      </c>
      <c r="Q420" s="23">
        <v>128</v>
      </c>
      <c r="R420" s="23">
        <f t="shared" si="7"/>
        <v>128</v>
      </c>
      <c r="S420" s="22">
        <v>4</v>
      </c>
      <c r="T420" s="20" t="s">
        <v>1757</v>
      </c>
    </row>
    <row r="421" spans="1:20" ht="23.25" customHeight="1" x14ac:dyDescent="0.25">
      <c r="A421" s="21" t="s">
        <v>1758</v>
      </c>
      <c r="B421" s="24">
        <v>2024</v>
      </c>
      <c r="C421" s="90" t="s">
        <v>21</v>
      </c>
      <c r="D421" s="24" t="s">
        <v>1696</v>
      </c>
      <c r="E421" s="257" t="s">
        <v>1759</v>
      </c>
      <c r="F421" s="31" t="s">
        <v>62</v>
      </c>
      <c r="G421" s="21" t="s">
        <v>72</v>
      </c>
      <c r="H421" s="38" t="s">
        <v>1760</v>
      </c>
      <c r="I421" s="39">
        <v>45390</v>
      </c>
      <c r="J421" s="39">
        <v>45394</v>
      </c>
      <c r="K421" s="24" t="s">
        <v>35</v>
      </c>
      <c r="L421" s="26">
        <v>11779.56</v>
      </c>
      <c r="M421" s="87">
        <v>4.8</v>
      </c>
      <c r="N421" s="40">
        <v>21</v>
      </c>
      <c r="O421" s="25">
        <v>5</v>
      </c>
      <c r="P421" s="25">
        <v>16</v>
      </c>
      <c r="Q421" s="25">
        <v>0</v>
      </c>
      <c r="R421" s="25">
        <f t="shared" si="7"/>
        <v>21</v>
      </c>
      <c r="S421" s="24">
        <v>20</v>
      </c>
      <c r="T421" s="21" t="s">
        <v>74</v>
      </c>
    </row>
    <row r="422" spans="1:20" ht="23.25" customHeight="1" x14ac:dyDescent="0.25">
      <c r="A422" s="20" t="s">
        <v>1761</v>
      </c>
      <c r="B422" s="22">
        <v>2024</v>
      </c>
      <c r="C422" s="90" t="s">
        <v>21</v>
      </c>
      <c r="D422" s="22" t="s">
        <v>1762</v>
      </c>
      <c r="E422" s="27" t="s">
        <v>1763</v>
      </c>
      <c r="F422" s="29" t="s">
        <v>23</v>
      </c>
      <c r="G422" s="20" t="s">
        <v>38</v>
      </c>
      <c r="H422" s="36" t="s">
        <v>1764</v>
      </c>
      <c r="I422" s="37">
        <v>45390</v>
      </c>
      <c r="J422" s="37">
        <v>45415</v>
      </c>
      <c r="K422" s="22" t="s">
        <v>35</v>
      </c>
      <c r="L422" s="28">
        <v>8000</v>
      </c>
      <c r="M422" s="86">
        <v>5</v>
      </c>
      <c r="N422" s="41">
        <v>8</v>
      </c>
      <c r="O422" s="23">
        <v>8</v>
      </c>
      <c r="P422" s="23">
        <v>0</v>
      </c>
      <c r="Q422" s="23">
        <v>0</v>
      </c>
      <c r="R422" s="23">
        <f t="shared" si="7"/>
        <v>8</v>
      </c>
      <c r="S422" s="22">
        <v>16</v>
      </c>
      <c r="T422" s="20" t="s">
        <v>1765</v>
      </c>
    </row>
    <row r="423" spans="1:20" ht="23.25" customHeight="1" x14ac:dyDescent="0.25">
      <c r="A423" s="21" t="s">
        <v>1766</v>
      </c>
      <c r="B423" s="24">
        <v>2024</v>
      </c>
      <c r="C423" s="90" t="s">
        <v>21</v>
      </c>
      <c r="D423" s="24" t="s">
        <v>1754</v>
      </c>
      <c r="E423" s="30" t="s">
        <v>1767</v>
      </c>
      <c r="F423" s="31" t="s">
        <v>23</v>
      </c>
      <c r="G423" s="21" t="s">
        <v>199</v>
      </c>
      <c r="H423" s="38" t="s">
        <v>1768</v>
      </c>
      <c r="I423" s="39">
        <v>45394</v>
      </c>
      <c r="J423" s="39">
        <v>45394</v>
      </c>
      <c r="K423" s="24" t="s">
        <v>35</v>
      </c>
      <c r="L423" s="26">
        <v>1042.02</v>
      </c>
      <c r="M423" s="87">
        <v>4.9000000000000004</v>
      </c>
      <c r="N423" s="40">
        <v>170</v>
      </c>
      <c r="O423" s="25">
        <v>93</v>
      </c>
      <c r="P423" s="25">
        <v>0</v>
      </c>
      <c r="Q423" s="25">
        <v>0</v>
      </c>
      <c r="R423" s="25">
        <f t="shared" si="7"/>
        <v>93</v>
      </c>
      <c r="S423" s="24">
        <v>4</v>
      </c>
      <c r="T423" s="21" t="s">
        <v>1757</v>
      </c>
    </row>
    <row r="424" spans="1:20" ht="23.25" customHeight="1" x14ac:dyDescent="0.25">
      <c r="A424" s="20" t="s">
        <v>1769</v>
      </c>
      <c r="B424" s="22">
        <v>2024</v>
      </c>
      <c r="C424" s="90" t="s">
        <v>21</v>
      </c>
      <c r="D424" s="22" t="s">
        <v>1770</v>
      </c>
      <c r="E424" s="27" t="s">
        <v>1771</v>
      </c>
      <c r="F424" s="29" t="s">
        <v>23</v>
      </c>
      <c r="G424" s="20" t="s">
        <v>199</v>
      </c>
      <c r="H424" s="36" t="s">
        <v>1772</v>
      </c>
      <c r="I424" s="37">
        <v>45397</v>
      </c>
      <c r="J424" s="37">
        <v>45411</v>
      </c>
      <c r="K424" s="22" t="s">
        <v>26</v>
      </c>
      <c r="L424" s="28">
        <v>19900</v>
      </c>
      <c r="M424" s="86">
        <v>4.9000000000000004</v>
      </c>
      <c r="N424" s="41">
        <v>20</v>
      </c>
      <c r="O424" s="23">
        <v>6</v>
      </c>
      <c r="P424" s="23">
        <v>0</v>
      </c>
      <c r="Q424" s="23">
        <v>0</v>
      </c>
      <c r="R424" s="23">
        <f t="shared" si="7"/>
        <v>6</v>
      </c>
      <c r="S424" s="22">
        <v>24</v>
      </c>
      <c r="T424" s="20" t="s">
        <v>1258</v>
      </c>
    </row>
    <row r="425" spans="1:20" ht="23.25" customHeight="1" x14ac:dyDescent="0.25">
      <c r="A425" s="21" t="s">
        <v>1773</v>
      </c>
      <c r="B425" s="24">
        <v>2024</v>
      </c>
      <c r="C425" s="90" t="s">
        <v>21</v>
      </c>
      <c r="D425" s="24"/>
      <c r="E425" s="30" t="s">
        <v>1774</v>
      </c>
      <c r="F425" s="31" t="s">
        <v>62</v>
      </c>
      <c r="G425" s="21" t="s">
        <v>72</v>
      </c>
      <c r="H425" s="38" t="s">
        <v>1775</v>
      </c>
      <c r="I425" s="39">
        <v>45414</v>
      </c>
      <c r="J425" s="39">
        <v>45414</v>
      </c>
      <c r="K425" s="24" t="s">
        <v>220</v>
      </c>
      <c r="L425" s="26">
        <v>0</v>
      </c>
      <c r="M425" s="87">
        <v>5</v>
      </c>
      <c r="N425" s="40">
        <v>170</v>
      </c>
      <c r="O425" s="25">
        <v>40</v>
      </c>
      <c r="P425" s="25">
        <v>40</v>
      </c>
      <c r="Q425" s="25">
        <v>0</v>
      </c>
      <c r="R425" s="25">
        <f t="shared" si="7"/>
        <v>80</v>
      </c>
      <c r="S425" s="24">
        <v>4</v>
      </c>
      <c r="T425" s="21" t="s">
        <v>472</v>
      </c>
    </row>
    <row r="426" spans="1:20" ht="23.25" customHeight="1" x14ac:dyDescent="0.25">
      <c r="A426" s="20" t="s">
        <v>1776</v>
      </c>
      <c r="B426" s="22">
        <v>2024</v>
      </c>
      <c r="C426" s="90" t="s">
        <v>21</v>
      </c>
      <c r="D426" s="22" t="s">
        <v>1777</v>
      </c>
      <c r="E426" s="27" t="s">
        <v>1778</v>
      </c>
      <c r="F426" s="29" t="s">
        <v>23</v>
      </c>
      <c r="G426" s="20" t="s">
        <v>457</v>
      </c>
      <c r="H426" s="36" t="s">
        <v>1779</v>
      </c>
      <c r="I426" s="37">
        <v>45415</v>
      </c>
      <c r="J426" s="37">
        <v>45415</v>
      </c>
      <c r="K426" s="22" t="s">
        <v>26</v>
      </c>
      <c r="L426" s="28">
        <f>49600/8</f>
        <v>6200</v>
      </c>
      <c r="M426" s="86">
        <v>5</v>
      </c>
      <c r="N426" s="23">
        <v>23</v>
      </c>
      <c r="O426" s="23">
        <v>8</v>
      </c>
      <c r="P426" s="23">
        <v>0</v>
      </c>
      <c r="Q426" s="23">
        <v>0</v>
      </c>
      <c r="R426" s="23">
        <f t="shared" si="7"/>
        <v>8</v>
      </c>
      <c r="S426" s="22">
        <v>4</v>
      </c>
      <c r="T426" s="20" t="s">
        <v>1780</v>
      </c>
    </row>
    <row r="427" spans="1:20" ht="23.25" customHeight="1" x14ac:dyDescent="0.25">
      <c r="A427" s="21" t="s">
        <v>1781</v>
      </c>
      <c r="B427" s="24">
        <v>2024</v>
      </c>
      <c r="C427" s="90" t="s">
        <v>21</v>
      </c>
      <c r="D427" s="24" t="s">
        <v>1782</v>
      </c>
      <c r="E427" s="30" t="s">
        <v>1783</v>
      </c>
      <c r="F427" s="31" t="s">
        <v>23</v>
      </c>
      <c r="G427" s="21" t="s">
        <v>38</v>
      </c>
      <c r="H427" s="38" t="s">
        <v>1784</v>
      </c>
      <c r="I427" s="39">
        <v>45418</v>
      </c>
      <c r="J427" s="39">
        <v>45421</v>
      </c>
      <c r="K427" s="24" t="s">
        <v>35</v>
      </c>
      <c r="L427" s="26">
        <v>9423.64</v>
      </c>
      <c r="M427" s="87">
        <v>5</v>
      </c>
      <c r="N427" s="40">
        <v>20</v>
      </c>
      <c r="O427" s="25">
        <v>10</v>
      </c>
      <c r="P427" s="25">
        <v>0</v>
      </c>
      <c r="Q427" s="25">
        <v>0</v>
      </c>
      <c r="R427" s="25">
        <f t="shared" si="7"/>
        <v>10</v>
      </c>
      <c r="S427" s="24">
        <v>16</v>
      </c>
      <c r="T427" s="21" t="s">
        <v>1785</v>
      </c>
    </row>
    <row r="428" spans="1:20" ht="23.25" customHeight="1" x14ac:dyDescent="0.25">
      <c r="A428" s="20" t="s">
        <v>1786</v>
      </c>
      <c r="B428" s="22">
        <v>2024</v>
      </c>
      <c r="C428" s="90" t="s">
        <v>21</v>
      </c>
      <c r="D428" s="22" t="s">
        <v>1787</v>
      </c>
      <c r="E428" s="27" t="s">
        <v>1788</v>
      </c>
      <c r="F428" s="29" t="s">
        <v>81</v>
      </c>
      <c r="G428" s="20" t="s">
        <v>72</v>
      </c>
      <c r="H428" s="36" t="s">
        <v>1789</v>
      </c>
      <c r="I428" s="37">
        <v>45420</v>
      </c>
      <c r="J428" s="37">
        <v>45422</v>
      </c>
      <c r="K428" s="22" t="s">
        <v>26</v>
      </c>
      <c r="L428" s="28">
        <v>2146.96</v>
      </c>
      <c r="M428" s="86"/>
      <c r="N428" s="23">
        <v>80</v>
      </c>
      <c r="O428" s="23">
        <v>0</v>
      </c>
      <c r="P428" s="23">
        <v>0</v>
      </c>
      <c r="Q428" s="22">
        <v>80</v>
      </c>
      <c r="R428" s="23">
        <f t="shared" si="7"/>
        <v>80</v>
      </c>
      <c r="S428" s="22">
        <v>4</v>
      </c>
      <c r="T428" s="20" t="s">
        <v>1367</v>
      </c>
    </row>
    <row r="429" spans="1:20" ht="23.25" customHeight="1" x14ac:dyDescent="0.25">
      <c r="A429" s="21" t="s">
        <v>1790</v>
      </c>
      <c r="B429" s="24">
        <v>2024</v>
      </c>
      <c r="C429" s="90" t="s">
        <v>21</v>
      </c>
      <c r="D429" s="24" t="s">
        <v>1787</v>
      </c>
      <c r="E429" s="30" t="s">
        <v>1791</v>
      </c>
      <c r="F429" s="31" t="s">
        <v>81</v>
      </c>
      <c r="G429" s="21" t="s">
        <v>72</v>
      </c>
      <c r="H429" s="38" t="s">
        <v>1789</v>
      </c>
      <c r="I429" s="39">
        <v>45420</v>
      </c>
      <c r="J429" s="39">
        <v>45422</v>
      </c>
      <c r="K429" s="24" t="s">
        <v>26</v>
      </c>
      <c r="L429" s="26">
        <v>2146.96</v>
      </c>
      <c r="M429" s="87"/>
      <c r="N429" s="25">
        <v>80</v>
      </c>
      <c r="O429" s="25">
        <v>0</v>
      </c>
      <c r="P429" s="25">
        <v>0</v>
      </c>
      <c r="Q429" s="24">
        <v>80</v>
      </c>
      <c r="R429" s="25">
        <f t="shared" si="7"/>
        <v>80</v>
      </c>
      <c r="S429" s="24">
        <v>4</v>
      </c>
      <c r="T429" s="21" t="s">
        <v>1367</v>
      </c>
    </row>
    <row r="430" spans="1:20" ht="23.25" customHeight="1" x14ac:dyDescent="0.25">
      <c r="A430" s="20" t="s">
        <v>1792</v>
      </c>
      <c r="B430" s="22">
        <v>2024</v>
      </c>
      <c r="C430" s="90" t="s">
        <v>21</v>
      </c>
      <c r="D430" s="22" t="s">
        <v>1787</v>
      </c>
      <c r="E430" s="27" t="s">
        <v>1793</v>
      </c>
      <c r="F430" s="29" t="s">
        <v>81</v>
      </c>
      <c r="G430" s="20" t="s">
        <v>72</v>
      </c>
      <c r="H430" s="36" t="s">
        <v>1789</v>
      </c>
      <c r="I430" s="37">
        <v>45420</v>
      </c>
      <c r="J430" s="37">
        <v>45422</v>
      </c>
      <c r="K430" s="22" t="s">
        <v>26</v>
      </c>
      <c r="L430" s="28">
        <v>2146.96</v>
      </c>
      <c r="M430" s="86"/>
      <c r="N430" s="23">
        <v>80</v>
      </c>
      <c r="O430" s="23">
        <v>0</v>
      </c>
      <c r="P430" s="23">
        <v>0</v>
      </c>
      <c r="Q430" s="22">
        <v>80</v>
      </c>
      <c r="R430" s="23">
        <f t="shared" si="7"/>
        <v>80</v>
      </c>
      <c r="S430" s="22">
        <v>4</v>
      </c>
      <c r="T430" s="20" t="s">
        <v>1367</v>
      </c>
    </row>
    <row r="431" spans="1:20" ht="23.25" customHeight="1" x14ac:dyDescent="0.25">
      <c r="A431" s="21" t="s">
        <v>1794</v>
      </c>
      <c r="B431" s="24">
        <v>2024</v>
      </c>
      <c r="C431" s="90" t="s">
        <v>21</v>
      </c>
      <c r="D431" s="24" t="s">
        <v>1787</v>
      </c>
      <c r="E431" s="30" t="s">
        <v>1795</v>
      </c>
      <c r="F431" s="31" t="s">
        <v>81</v>
      </c>
      <c r="G431" s="21" t="s">
        <v>72</v>
      </c>
      <c r="H431" s="38" t="s">
        <v>1789</v>
      </c>
      <c r="I431" s="39">
        <v>45420</v>
      </c>
      <c r="J431" s="39">
        <v>45422</v>
      </c>
      <c r="K431" s="24" t="s">
        <v>26</v>
      </c>
      <c r="L431" s="26">
        <v>2146.96</v>
      </c>
      <c r="M431" s="87"/>
      <c r="N431" s="25">
        <v>80</v>
      </c>
      <c r="O431" s="25">
        <v>0</v>
      </c>
      <c r="P431" s="25">
        <v>0</v>
      </c>
      <c r="Q431" s="24">
        <v>80</v>
      </c>
      <c r="R431" s="25">
        <f t="shared" si="7"/>
        <v>80</v>
      </c>
      <c r="S431" s="24">
        <v>4</v>
      </c>
      <c r="T431" s="21" t="s">
        <v>1367</v>
      </c>
    </row>
    <row r="432" spans="1:20" ht="23.25" customHeight="1" x14ac:dyDescent="0.25">
      <c r="A432" s="20" t="s">
        <v>1796</v>
      </c>
      <c r="B432" s="22">
        <v>2024</v>
      </c>
      <c r="C432" s="90" t="s">
        <v>21</v>
      </c>
      <c r="D432" s="22" t="s">
        <v>1787</v>
      </c>
      <c r="E432" s="27" t="s">
        <v>1797</v>
      </c>
      <c r="F432" s="29" t="s">
        <v>81</v>
      </c>
      <c r="G432" s="20" t="s">
        <v>72</v>
      </c>
      <c r="H432" s="36" t="s">
        <v>1789</v>
      </c>
      <c r="I432" s="37">
        <v>45420</v>
      </c>
      <c r="J432" s="37">
        <v>45422</v>
      </c>
      <c r="K432" s="22" t="s">
        <v>26</v>
      </c>
      <c r="L432" s="28">
        <v>2146.96</v>
      </c>
      <c r="M432" s="86"/>
      <c r="N432" s="23">
        <v>80</v>
      </c>
      <c r="O432" s="23">
        <v>0</v>
      </c>
      <c r="P432" s="23">
        <v>0</v>
      </c>
      <c r="Q432" s="22">
        <v>80</v>
      </c>
      <c r="R432" s="23">
        <f t="shared" si="7"/>
        <v>80</v>
      </c>
      <c r="S432" s="22">
        <v>4</v>
      </c>
      <c r="T432" s="20" t="s">
        <v>1367</v>
      </c>
    </row>
    <row r="433" spans="1:20" ht="23.25" customHeight="1" x14ac:dyDescent="0.25">
      <c r="A433" s="21" t="s">
        <v>1798</v>
      </c>
      <c r="B433" s="24">
        <v>2024</v>
      </c>
      <c r="C433" s="90" t="s">
        <v>21</v>
      </c>
      <c r="D433" s="24" t="s">
        <v>1777</v>
      </c>
      <c r="E433" s="30" t="s">
        <v>1799</v>
      </c>
      <c r="F433" s="31" t="s">
        <v>23</v>
      </c>
      <c r="G433" s="21" t="s">
        <v>457</v>
      </c>
      <c r="H433" s="38" t="s">
        <v>1800</v>
      </c>
      <c r="I433" s="39">
        <v>45422</v>
      </c>
      <c r="J433" s="39">
        <v>45422</v>
      </c>
      <c r="K433" s="24" t="s">
        <v>26</v>
      </c>
      <c r="L433" s="26">
        <f>49600/8</f>
        <v>6200</v>
      </c>
      <c r="M433" s="87">
        <v>4.9000000000000004</v>
      </c>
      <c r="N433" s="25">
        <v>50</v>
      </c>
      <c r="O433" s="25">
        <v>33</v>
      </c>
      <c r="P433" s="25">
        <v>0</v>
      </c>
      <c r="Q433" s="25">
        <v>0</v>
      </c>
      <c r="R433" s="25">
        <f t="shared" si="7"/>
        <v>33</v>
      </c>
      <c r="S433" s="24">
        <v>4</v>
      </c>
      <c r="T433" s="21" t="s">
        <v>1780</v>
      </c>
    </row>
    <row r="434" spans="1:20" ht="23.25" customHeight="1" x14ac:dyDescent="0.25">
      <c r="A434" s="20" t="s">
        <v>1801</v>
      </c>
      <c r="B434" s="22">
        <v>2024</v>
      </c>
      <c r="C434" s="90" t="s">
        <v>21</v>
      </c>
      <c r="D434" s="22" t="s">
        <v>1710</v>
      </c>
      <c r="E434" s="27" t="s">
        <v>1802</v>
      </c>
      <c r="F434" s="29" t="s">
        <v>23</v>
      </c>
      <c r="G434" s="20" t="s">
        <v>199</v>
      </c>
      <c r="H434" s="56">
        <v>45570</v>
      </c>
      <c r="I434" s="37">
        <v>45422</v>
      </c>
      <c r="J434" s="37">
        <v>45422</v>
      </c>
      <c r="K434" s="22"/>
      <c r="L434" s="28"/>
      <c r="M434" s="86"/>
      <c r="N434" s="41"/>
      <c r="O434" s="23">
        <v>0</v>
      </c>
      <c r="P434" s="23">
        <v>0</v>
      </c>
      <c r="Q434" s="23">
        <v>0</v>
      </c>
      <c r="R434" s="23">
        <f t="shared" si="7"/>
        <v>0</v>
      </c>
      <c r="S434" s="22"/>
      <c r="T434" s="20"/>
    </row>
    <row r="435" spans="1:20" ht="23.25" customHeight="1" x14ac:dyDescent="0.25">
      <c r="A435" s="21" t="s">
        <v>1803</v>
      </c>
      <c r="B435" s="24">
        <v>2024</v>
      </c>
      <c r="C435" s="90" t="s">
        <v>21</v>
      </c>
      <c r="D435" s="24" t="s">
        <v>1718</v>
      </c>
      <c r="E435" s="30" t="s">
        <v>1804</v>
      </c>
      <c r="F435" s="31" t="s">
        <v>81</v>
      </c>
      <c r="G435" s="21" t="s">
        <v>72</v>
      </c>
      <c r="H435" s="38" t="s">
        <v>1805</v>
      </c>
      <c r="I435" s="39">
        <v>45425</v>
      </c>
      <c r="J435" s="39">
        <v>45429</v>
      </c>
      <c r="K435" s="24" t="s">
        <v>35</v>
      </c>
      <c r="L435" s="26">
        <v>10420.280000000001</v>
      </c>
      <c r="M435" s="87">
        <v>4.8</v>
      </c>
      <c r="N435" s="40">
        <v>40</v>
      </c>
      <c r="O435" s="25">
        <v>0</v>
      </c>
      <c r="P435" s="25">
        <v>0</v>
      </c>
      <c r="Q435" s="25">
        <v>62</v>
      </c>
      <c r="R435" s="25">
        <f t="shared" si="7"/>
        <v>62</v>
      </c>
      <c r="S435" s="24">
        <v>20</v>
      </c>
      <c r="T435" s="21" t="s">
        <v>418</v>
      </c>
    </row>
    <row r="436" spans="1:20" ht="23.25" customHeight="1" x14ac:dyDescent="0.25">
      <c r="A436" s="20" t="s">
        <v>1806</v>
      </c>
      <c r="B436" s="22">
        <v>2024</v>
      </c>
      <c r="C436" s="90" t="s">
        <v>21</v>
      </c>
      <c r="D436" s="22" t="s">
        <v>1807</v>
      </c>
      <c r="E436" s="27" t="s">
        <v>1808</v>
      </c>
      <c r="F436" s="29" t="s">
        <v>23</v>
      </c>
      <c r="G436" s="20" t="s">
        <v>38</v>
      </c>
      <c r="H436" s="36" t="s">
        <v>1809</v>
      </c>
      <c r="I436" s="37">
        <v>45426</v>
      </c>
      <c r="J436" s="37">
        <v>45426</v>
      </c>
      <c r="K436" s="22" t="s">
        <v>220</v>
      </c>
      <c r="L436" s="28">
        <v>2500</v>
      </c>
      <c r="M436" s="86">
        <v>4.5999999999999996</v>
      </c>
      <c r="N436" s="41">
        <v>170</v>
      </c>
      <c r="O436" s="23">
        <v>42</v>
      </c>
      <c r="P436" s="23">
        <v>0</v>
      </c>
      <c r="Q436" s="23">
        <v>0</v>
      </c>
      <c r="R436" s="23">
        <f t="shared" si="7"/>
        <v>42</v>
      </c>
      <c r="S436" s="22">
        <v>4</v>
      </c>
      <c r="T436" s="20" t="s">
        <v>1810</v>
      </c>
    </row>
    <row r="437" spans="1:20" ht="23.25" customHeight="1" x14ac:dyDescent="0.25">
      <c r="A437" s="21" t="s">
        <v>1811</v>
      </c>
      <c r="B437" s="24">
        <v>2024</v>
      </c>
      <c r="C437" s="90" t="s">
        <v>21</v>
      </c>
      <c r="D437" s="24" t="s">
        <v>1807</v>
      </c>
      <c r="E437" s="30" t="s">
        <v>1812</v>
      </c>
      <c r="F437" s="31" t="s">
        <v>23</v>
      </c>
      <c r="G437" s="21" t="s">
        <v>38</v>
      </c>
      <c r="H437" s="38" t="s">
        <v>1813</v>
      </c>
      <c r="I437" s="39">
        <v>45427</v>
      </c>
      <c r="J437" s="39">
        <v>45427</v>
      </c>
      <c r="K437" s="24" t="s">
        <v>220</v>
      </c>
      <c r="L437" s="26">
        <v>2500</v>
      </c>
      <c r="M437" s="87">
        <v>5</v>
      </c>
      <c r="N437" s="40">
        <v>20</v>
      </c>
      <c r="O437" s="25">
        <v>6</v>
      </c>
      <c r="P437" s="25">
        <v>0</v>
      </c>
      <c r="Q437" s="25">
        <v>0</v>
      </c>
      <c r="R437" s="25">
        <f t="shared" si="7"/>
        <v>6</v>
      </c>
      <c r="S437" s="24">
        <v>4</v>
      </c>
      <c r="T437" s="21" t="s">
        <v>1810</v>
      </c>
    </row>
    <row r="438" spans="1:20" ht="23.25" customHeight="1" x14ac:dyDescent="0.25">
      <c r="A438" s="20" t="s">
        <v>1814</v>
      </c>
      <c r="B438" s="22">
        <v>2024</v>
      </c>
      <c r="C438" s="90" t="s">
        <v>21</v>
      </c>
      <c r="D438" s="22" t="s">
        <v>1807</v>
      </c>
      <c r="E438" s="27" t="s">
        <v>1815</v>
      </c>
      <c r="F438" s="29" t="s">
        <v>23</v>
      </c>
      <c r="G438" s="20" t="s">
        <v>38</v>
      </c>
      <c r="H438" s="36" t="s">
        <v>1816</v>
      </c>
      <c r="I438" s="37">
        <v>45428</v>
      </c>
      <c r="J438" s="37">
        <v>45428</v>
      </c>
      <c r="K438" s="22" t="s">
        <v>220</v>
      </c>
      <c r="L438" s="28">
        <v>2500</v>
      </c>
      <c r="M438" s="86">
        <v>4.9000000000000004</v>
      </c>
      <c r="N438" s="41">
        <v>170</v>
      </c>
      <c r="O438" s="23">
        <v>49</v>
      </c>
      <c r="P438" s="23">
        <v>0</v>
      </c>
      <c r="Q438" s="23">
        <v>0</v>
      </c>
      <c r="R438" s="23">
        <f t="shared" si="7"/>
        <v>49</v>
      </c>
      <c r="S438" s="22">
        <v>4</v>
      </c>
      <c r="T438" s="20" t="s">
        <v>1810</v>
      </c>
    </row>
    <row r="439" spans="1:20" ht="23.25" customHeight="1" x14ac:dyDescent="0.25">
      <c r="A439" s="21" t="s">
        <v>1817</v>
      </c>
      <c r="B439" s="24">
        <v>2024</v>
      </c>
      <c r="C439" s="90" t="s">
        <v>21</v>
      </c>
      <c r="D439" s="24" t="s">
        <v>1807</v>
      </c>
      <c r="E439" s="30" t="s">
        <v>1815</v>
      </c>
      <c r="F439" s="31" t="s">
        <v>23</v>
      </c>
      <c r="G439" s="21" t="s">
        <v>38</v>
      </c>
      <c r="H439" s="38" t="s">
        <v>1818</v>
      </c>
      <c r="I439" s="39">
        <v>45429</v>
      </c>
      <c r="J439" s="39">
        <v>45429</v>
      </c>
      <c r="K439" s="24" t="s">
        <v>220</v>
      </c>
      <c r="L439" s="26">
        <v>1842.2</v>
      </c>
      <c r="M439" s="87">
        <v>5</v>
      </c>
      <c r="N439" s="40">
        <v>170</v>
      </c>
      <c r="O439" s="25">
        <v>20</v>
      </c>
      <c r="P439" s="25">
        <v>0</v>
      </c>
      <c r="Q439" s="25">
        <v>0</v>
      </c>
      <c r="R439" s="25">
        <f t="shared" si="7"/>
        <v>20</v>
      </c>
      <c r="S439" s="24">
        <v>4</v>
      </c>
      <c r="T439" s="21" t="s">
        <v>1810</v>
      </c>
    </row>
    <row r="440" spans="1:20" ht="23.25" customHeight="1" x14ac:dyDescent="0.25">
      <c r="A440" s="20" t="s">
        <v>1819</v>
      </c>
      <c r="B440" s="22">
        <v>2024</v>
      </c>
      <c r="C440" s="90" t="s">
        <v>21</v>
      </c>
      <c r="D440" s="22" t="s">
        <v>1820</v>
      </c>
      <c r="E440" s="27" t="s">
        <v>1821</v>
      </c>
      <c r="F440" s="29" t="s">
        <v>81</v>
      </c>
      <c r="G440" s="20" t="s">
        <v>72</v>
      </c>
      <c r="H440" s="36" t="s">
        <v>1822</v>
      </c>
      <c r="I440" s="37">
        <v>45432</v>
      </c>
      <c r="J440" s="37">
        <v>45436</v>
      </c>
      <c r="K440" s="22" t="s">
        <v>35</v>
      </c>
      <c r="L440" s="28">
        <v>7067.73</v>
      </c>
      <c r="M440" s="86">
        <v>4.8</v>
      </c>
      <c r="N440" s="41">
        <v>30</v>
      </c>
      <c r="O440" s="23">
        <v>0</v>
      </c>
      <c r="P440" s="23">
        <v>0</v>
      </c>
      <c r="Q440" s="23">
        <v>28</v>
      </c>
      <c r="R440" s="23">
        <f t="shared" si="7"/>
        <v>28</v>
      </c>
      <c r="S440" s="22">
        <v>12</v>
      </c>
      <c r="T440" s="20" t="s">
        <v>549</v>
      </c>
    </row>
    <row r="441" spans="1:20" ht="23.25" customHeight="1" x14ac:dyDescent="0.25">
      <c r="A441" s="21" t="s">
        <v>1823</v>
      </c>
      <c r="B441" s="24">
        <v>2024</v>
      </c>
      <c r="C441" s="90" t="s">
        <v>21</v>
      </c>
      <c r="D441" s="24" t="s">
        <v>1824</v>
      </c>
      <c r="E441" s="30" t="s">
        <v>1825</v>
      </c>
      <c r="F441" s="31" t="s">
        <v>23</v>
      </c>
      <c r="G441" s="21" t="s">
        <v>199</v>
      </c>
      <c r="H441" s="38" t="s">
        <v>1826</v>
      </c>
      <c r="I441" s="39">
        <v>45439</v>
      </c>
      <c r="J441" s="39">
        <v>45446</v>
      </c>
      <c r="K441" s="24" t="s">
        <v>26</v>
      </c>
      <c r="L441" s="26">
        <v>10990</v>
      </c>
      <c r="M441" s="87">
        <v>5</v>
      </c>
      <c r="N441" s="40">
        <v>20</v>
      </c>
      <c r="O441" s="25">
        <v>17</v>
      </c>
      <c r="P441" s="25">
        <v>0</v>
      </c>
      <c r="Q441" s="25">
        <v>0</v>
      </c>
      <c r="R441" s="25">
        <f t="shared" si="7"/>
        <v>17</v>
      </c>
      <c r="S441" s="24">
        <v>20</v>
      </c>
      <c r="T441" s="21" t="s">
        <v>796</v>
      </c>
    </row>
    <row r="442" spans="1:20" ht="23.25" customHeight="1" x14ac:dyDescent="0.25">
      <c r="A442" s="20" t="s">
        <v>1827</v>
      </c>
      <c r="B442" s="22">
        <v>2024</v>
      </c>
      <c r="C442" s="90" t="s">
        <v>21</v>
      </c>
      <c r="D442" s="22" t="s">
        <v>1828</v>
      </c>
      <c r="E442" s="27" t="s">
        <v>1829</v>
      </c>
      <c r="F442" s="29" t="s">
        <v>23</v>
      </c>
      <c r="G442" s="20" t="s">
        <v>33</v>
      </c>
      <c r="H442" s="36" t="s">
        <v>1830</v>
      </c>
      <c r="I442" s="37">
        <v>45440</v>
      </c>
      <c r="J442" s="37">
        <v>45456</v>
      </c>
      <c r="K442" s="22" t="s">
        <v>35</v>
      </c>
      <c r="L442" s="28">
        <f>8015.5+7248.86</f>
        <v>15264.36</v>
      </c>
      <c r="M442" s="86">
        <v>4.8</v>
      </c>
      <c r="N442" s="41">
        <v>20</v>
      </c>
      <c r="O442" s="23">
        <v>17</v>
      </c>
      <c r="P442" s="23">
        <v>0</v>
      </c>
      <c r="Q442" s="23">
        <v>0</v>
      </c>
      <c r="R442" s="23">
        <f t="shared" si="7"/>
        <v>17</v>
      </c>
      <c r="S442" s="22">
        <v>20</v>
      </c>
      <c r="T442" s="20" t="s">
        <v>1831</v>
      </c>
    </row>
    <row r="443" spans="1:20" ht="23.25" customHeight="1" x14ac:dyDescent="0.25">
      <c r="A443" s="21" t="s">
        <v>1832</v>
      </c>
      <c r="B443" s="24">
        <v>2024</v>
      </c>
      <c r="C443" s="90" t="s">
        <v>21</v>
      </c>
      <c r="D443" s="24" t="s">
        <v>1833</v>
      </c>
      <c r="E443" s="30" t="s">
        <v>1834</v>
      </c>
      <c r="F443" s="31" t="s">
        <v>62</v>
      </c>
      <c r="G443" s="21" t="s">
        <v>72</v>
      </c>
      <c r="H443" s="38" t="s">
        <v>1835</v>
      </c>
      <c r="I443" s="39">
        <v>45446</v>
      </c>
      <c r="J443" s="39">
        <v>45456</v>
      </c>
      <c r="K443" s="24" t="s">
        <v>35</v>
      </c>
      <c r="L443" s="26">
        <f>7213.94+8154.98</f>
        <v>15368.919999999998</v>
      </c>
      <c r="M443" s="87">
        <v>4.8</v>
      </c>
      <c r="N443" s="40">
        <v>40</v>
      </c>
      <c r="O443" s="25">
        <v>0</v>
      </c>
      <c r="P443" s="25">
        <v>24</v>
      </c>
      <c r="Q443" s="25">
        <v>0</v>
      </c>
      <c r="R443" s="25">
        <f t="shared" si="7"/>
        <v>24</v>
      </c>
      <c r="S443" s="24">
        <v>20</v>
      </c>
      <c r="T443" s="21" t="s">
        <v>951</v>
      </c>
    </row>
    <row r="444" spans="1:20" ht="23.25" customHeight="1" x14ac:dyDescent="0.25">
      <c r="A444" s="20" t="s">
        <v>1836</v>
      </c>
      <c r="B444" s="22">
        <v>2024</v>
      </c>
      <c r="C444" s="90" t="s">
        <v>21</v>
      </c>
      <c r="D444" s="22" t="s">
        <v>1837</v>
      </c>
      <c r="E444" s="27" t="s">
        <v>1838</v>
      </c>
      <c r="F444" s="29" t="s">
        <v>23</v>
      </c>
      <c r="G444" s="20" t="s">
        <v>199</v>
      </c>
      <c r="H444" s="36" t="s">
        <v>1839</v>
      </c>
      <c r="I444" s="37">
        <v>45447</v>
      </c>
      <c r="J444" s="37">
        <v>45456</v>
      </c>
      <c r="K444" s="22" t="s">
        <v>26</v>
      </c>
      <c r="L444" s="28">
        <v>6700</v>
      </c>
      <c r="M444" s="86">
        <v>4.5999999999999996</v>
      </c>
      <c r="N444" s="41">
        <v>30</v>
      </c>
      <c r="O444" s="23">
        <v>16</v>
      </c>
      <c r="P444" s="23">
        <v>0</v>
      </c>
      <c r="Q444" s="23">
        <v>0</v>
      </c>
      <c r="R444" s="23">
        <f t="shared" si="7"/>
        <v>16</v>
      </c>
      <c r="S444" s="22">
        <v>8</v>
      </c>
      <c r="T444" s="20" t="s">
        <v>1060</v>
      </c>
    </row>
    <row r="445" spans="1:20" ht="23.25" customHeight="1" x14ac:dyDescent="0.25">
      <c r="A445" s="21" t="s">
        <v>1840</v>
      </c>
      <c r="B445" s="24">
        <v>2024</v>
      </c>
      <c r="C445" s="90" t="s">
        <v>21</v>
      </c>
      <c r="D445" s="24" t="s">
        <v>1841</v>
      </c>
      <c r="E445" s="30" t="s">
        <v>1842</v>
      </c>
      <c r="F445" s="31" t="s">
        <v>81</v>
      </c>
      <c r="G445" s="21" t="s">
        <v>72</v>
      </c>
      <c r="H445" s="38" t="s">
        <v>1843</v>
      </c>
      <c r="I445" s="39">
        <v>45456</v>
      </c>
      <c r="J445" s="39">
        <v>45457</v>
      </c>
      <c r="K445" s="24" t="s">
        <v>220</v>
      </c>
      <c r="L445" s="26">
        <v>0</v>
      </c>
      <c r="M445" s="87">
        <v>4.9000000000000004</v>
      </c>
      <c r="N445" s="40">
        <v>170</v>
      </c>
      <c r="O445" s="25">
        <v>33</v>
      </c>
      <c r="P445" s="25">
        <v>115</v>
      </c>
      <c r="Q445" s="25">
        <v>7</v>
      </c>
      <c r="R445" s="25">
        <f t="shared" si="7"/>
        <v>155</v>
      </c>
      <c r="S445" s="24">
        <v>8</v>
      </c>
      <c r="T445" s="21" t="s">
        <v>472</v>
      </c>
    </row>
    <row r="446" spans="1:20" ht="23.25" customHeight="1" x14ac:dyDescent="0.25">
      <c r="A446" s="20" t="s">
        <v>1844</v>
      </c>
      <c r="B446" s="22">
        <v>2024</v>
      </c>
      <c r="C446" s="90" t="s">
        <v>21</v>
      </c>
      <c r="D446" s="22" t="s">
        <v>1777</v>
      </c>
      <c r="E446" s="27" t="s">
        <v>1845</v>
      </c>
      <c r="F446" s="29" t="s">
        <v>23</v>
      </c>
      <c r="G446" s="20" t="s">
        <v>457</v>
      </c>
      <c r="H446" s="36" t="s">
        <v>1846</v>
      </c>
      <c r="I446" s="37">
        <v>45457</v>
      </c>
      <c r="J446" s="37">
        <v>45457</v>
      </c>
      <c r="K446" s="22" t="s">
        <v>26</v>
      </c>
      <c r="L446" s="28">
        <f>49600/8</f>
        <v>6200</v>
      </c>
      <c r="M446" s="86">
        <v>5</v>
      </c>
      <c r="N446" s="23">
        <v>20</v>
      </c>
      <c r="O446" s="23">
        <v>8</v>
      </c>
      <c r="P446" s="23">
        <v>0</v>
      </c>
      <c r="Q446" s="23">
        <v>0</v>
      </c>
      <c r="R446" s="23">
        <f t="shared" si="7"/>
        <v>8</v>
      </c>
      <c r="S446" s="22">
        <v>4</v>
      </c>
      <c r="T446" s="20" t="s">
        <v>1780</v>
      </c>
    </row>
    <row r="447" spans="1:20" ht="23.25" customHeight="1" x14ac:dyDescent="0.25">
      <c r="A447" s="21" t="s">
        <v>1847</v>
      </c>
      <c r="B447" s="24">
        <v>2024</v>
      </c>
      <c r="C447" s="90" t="s">
        <v>21</v>
      </c>
      <c r="D447" s="24" t="s">
        <v>1848</v>
      </c>
      <c r="E447" s="30" t="s">
        <v>1849</v>
      </c>
      <c r="F447" s="31" t="s">
        <v>62</v>
      </c>
      <c r="G447" s="21" t="s">
        <v>24</v>
      </c>
      <c r="H447" s="38" t="s">
        <v>1850</v>
      </c>
      <c r="I447" s="39">
        <v>45460</v>
      </c>
      <c r="J447" s="39">
        <v>45463</v>
      </c>
      <c r="K447" s="24" t="s">
        <v>35</v>
      </c>
      <c r="L447" s="26">
        <v>7934.1</v>
      </c>
      <c r="M447" s="87">
        <v>4.7</v>
      </c>
      <c r="N447" s="40">
        <v>20</v>
      </c>
      <c r="O447" s="25">
        <v>10</v>
      </c>
      <c r="P447" s="25">
        <v>0</v>
      </c>
      <c r="Q447" s="25">
        <v>0</v>
      </c>
      <c r="R447" s="25">
        <f t="shared" si="7"/>
        <v>10</v>
      </c>
      <c r="S447" s="24">
        <v>16</v>
      </c>
      <c r="T447" s="21" t="s">
        <v>1743</v>
      </c>
    </row>
    <row r="448" spans="1:20" ht="23.25" customHeight="1" x14ac:dyDescent="0.25">
      <c r="A448" s="20" t="s">
        <v>1851</v>
      </c>
      <c r="B448" s="22">
        <v>2024</v>
      </c>
      <c r="C448" s="90" t="s">
        <v>21</v>
      </c>
      <c r="D448" s="22" t="s">
        <v>1782</v>
      </c>
      <c r="E448" s="27" t="s">
        <v>1852</v>
      </c>
      <c r="F448" s="29" t="s">
        <v>23</v>
      </c>
      <c r="G448" s="20" t="s">
        <v>38</v>
      </c>
      <c r="H448" s="36" t="s">
        <v>1850</v>
      </c>
      <c r="I448" s="37">
        <v>45460</v>
      </c>
      <c r="J448" s="37">
        <v>45463</v>
      </c>
      <c r="K448" s="22" t="s">
        <v>35</v>
      </c>
      <c r="L448" s="28">
        <v>10250.44</v>
      </c>
      <c r="M448" s="86">
        <v>4.9000000000000004</v>
      </c>
      <c r="N448" s="41">
        <v>20</v>
      </c>
      <c r="O448" s="23">
        <v>15</v>
      </c>
      <c r="P448" s="23">
        <v>0</v>
      </c>
      <c r="Q448" s="23">
        <v>0</v>
      </c>
      <c r="R448" s="23">
        <f t="shared" si="7"/>
        <v>15</v>
      </c>
      <c r="S448" s="22">
        <v>16</v>
      </c>
      <c r="T448" s="20" t="s">
        <v>1785</v>
      </c>
    </row>
    <row r="449" spans="1:20" ht="23.25" customHeight="1" x14ac:dyDescent="0.25">
      <c r="A449" s="21" t="s">
        <v>1853</v>
      </c>
      <c r="B449" s="24">
        <v>2024</v>
      </c>
      <c r="C449" s="90" t="s">
        <v>21</v>
      </c>
      <c r="D449" s="24" t="s">
        <v>1854</v>
      </c>
      <c r="E449" s="30" t="s">
        <v>1855</v>
      </c>
      <c r="F449" s="31" t="s">
        <v>23</v>
      </c>
      <c r="G449" s="21" t="s">
        <v>364</v>
      </c>
      <c r="H449" s="38" t="s">
        <v>1856</v>
      </c>
      <c r="I449" s="39">
        <v>45461</v>
      </c>
      <c r="J449" s="39">
        <v>45464</v>
      </c>
      <c r="K449" s="24" t="s">
        <v>35</v>
      </c>
      <c r="L449" s="26">
        <v>0</v>
      </c>
      <c r="M449" s="87">
        <v>5</v>
      </c>
      <c r="N449" s="40">
        <v>51</v>
      </c>
      <c r="O449" s="25">
        <v>51</v>
      </c>
      <c r="P449" s="25">
        <v>0</v>
      </c>
      <c r="Q449" s="25">
        <v>0</v>
      </c>
      <c r="R449" s="25">
        <f t="shared" si="7"/>
        <v>51</v>
      </c>
      <c r="S449" s="24">
        <v>16</v>
      </c>
      <c r="T449" s="21" t="s">
        <v>472</v>
      </c>
    </row>
    <row r="450" spans="1:20" ht="23.25" customHeight="1" x14ac:dyDescent="0.25">
      <c r="A450" s="20" t="s">
        <v>1857</v>
      </c>
      <c r="B450" s="22">
        <v>2024</v>
      </c>
      <c r="C450" s="90" t="s">
        <v>21</v>
      </c>
      <c r="D450" s="22" t="s">
        <v>1745</v>
      </c>
      <c r="E450" s="27" t="s">
        <v>1858</v>
      </c>
      <c r="F450" s="29" t="s">
        <v>23</v>
      </c>
      <c r="G450" s="20" t="s">
        <v>24</v>
      </c>
      <c r="H450" s="36" t="s">
        <v>1859</v>
      </c>
      <c r="I450" s="37">
        <v>45461</v>
      </c>
      <c r="J450" s="37">
        <v>45469</v>
      </c>
      <c r="K450" s="22" t="s">
        <v>26</v>
      </c>
      <c r="L450" s="28">
        <v>17000</v>
      </c>
      <c r="M450" s="86">
        <v>4.7</v>
      </c>
      <c r="N450" s="41">
        <v>25</v>
      </c>
      <c r="O450" s="23">
        <v>52</v>
      </c>
      <c r="P450" s="23">
        <v>0</v>
      </c>
      <c r="Q450" s="23">
        <v>0</v>
      </c>
      <c r="R450" s="23">
        <f t="shared" si="7"/>
        <v>52</v>
      </c>
      <c r="S450" s="22">
        <v>16</v>
      </c>
      <c r="T450" s="20" t="s">
        <v>1748</v>
      </c>
    </row>
    <row r="451" spans="1:20" ht="23.25" customHeight="1" x14ac:dyDescent="0.25">
      <c r="A451" s="21" t="s">
        <v>1860</v>
      </c>
      <c r="B451" s="24">
        <v>2024</v>
      </c>
      <c r="C451" s="90" t="s">
        <v>21</v>
      </c>
      <c r="D451" s="24" t="s">
        <v>1777</v>
      </c>
      <c r="E451" s="30" t="s">
        <v>1861</v>
      </c>
      <c r="F451" s="31" t="s">
        <v>23</v>
      </c>
      <c r="G451" s="21" t="s">
        <v>457</v>
      </c>
      <c r="H451" s="38" t="s">
        <v>1862</v>
      </c>
      <c r="I451" s="39">
        <v>45464</v>
      </c>
      <c r="J451" s="39">
        <v>45464</v>
      </c>
      <c r="K451" s="24" t="s">
        <v>26</v>
      </c>
      <c r="L451" s="26">
        <f>49600/8</f>
        <v>6200</v>
      </c>
      <c r="M451" s="87">
        <v>4.8</v>
      </c>
      <c r="N451" s="25">
        <v>20</v>
      </c>
      <c r="O451" s="25">
        <v>13</v>
      </c>
      <c r="P451" s="25">
        <v>0</v>
      </c>
      <c r="Q451" s="25">
        <v>0</v>
      </c>
      <c r="R451" s="25">
        <f t="shared" si="7"/>
        <v>13</v>
      </c>
      <c r="S451" s="24">
        <v>4</v>
      </c>
      <c r="T451" s="21" t="s">
        <v>1780</v>
      </c>
    </row>
    <row r="452" spans="1:20" ht="23.25" customHeight="1" x14ac:dyDescent="0.25">
      <c r="A452" s="20" t="s">
        <v>1863</v>
      </c>
      <c r="B452" s="22">
        <v>2024</v>
      </c>
      <c r="C452" s="90" t="s">
        <v>21</v>
      </c>
      <c r="D452" s="22" t="s">
        <v>1864</v>
      </c>
      <c r="E452" s="27" t="s">
        <v>1865</v>
      </c>
      <c r="F452" s="29" t="s">
        <v>23</v>
      </c>
      <c r="G452" s="20" t="s">
        <v>457</v>
      </c>
      <c r="H452" s="36" t="s">
        <v>1866</v>
      </c>
      <c r="I452" s="37">
        <v>45467</v>
      </c>
      <c r="J452" s="37">
        <v>45467</v>
      </c>
      <c r="K452" s="22" t="s">
        <v>35</v>
      </c>
      <c r="L452" s="28">
        <v>2500</v>
      </c>
      <c r="M452" s="86">
        <v>4.8</v>
      </c>
      <c r="N452" s="41">
        <v>170</v>
      </c>
      <c r="O452" s="23">
        <v>90</v>
      </c>
      <c r="P452" s="23">
        <v>0</v>
      </c>
      <c r="Q452" s="23">
        <v>0</v>
      </c>
      <c r="R452" s="23">
        <f t="shared" si="7"/>
        <v>90</v>
      </c>
      <c r="S452" s="22">
        <v>3</v>
      </c>
      <c r="T452" s="20" t="s">
        <v>1716</v>
      </c>
    </row>
    <row r="453" spans="1:20" ht="23.25" customHeight="1" x14ac:dyDescent="0.25">
      <c r="A453" s="21" t="s">
        <v>1867</v>
      </c>
      <c r="B453" s="24">
        <v>2024</v>
      </c>
      <c r="C453" s="90" t="s">
        <v>21</v>
      </c>
      <c r="D453" s="24" t="s">
        <v>1745</v>
      </c>
      <c r="E453" s="30" t="s">
        <v>1868</v>
      </c>
      <c r="F453" s="31" t="s">
        <v>23</v>
      </c>
      <c r="G453" s="21" t="s">
        <v>24</v>
      </c>
      <c r="H453" s="38" t="s">
        <v>1869</v>
      </c>
      <c r="I453" s="39">
        <v>45470</v>
      </c>
      <c r="J453" s="39">
        <v>45470</v>
      </c>
      <c r="K453" s="24" t="s">
        <v>35</v>
      </c>
      <c r="L453" s="26">
        <v>1281.3</v>
      </c>
      <c r="M453" s="87">
        <v>4.7</v>
      </c>
      <c r="N453" s="40">
        <v>20</v>
      </c>
      <c r="O453" s="25">
        <v>11</v>
      </c>
      <c r="P453" s="25">
        <v>0</v>
      </c>
      <c r="Q453" s="25">
        <v>0</v>
      </c>
      <c r="R453" s="25">
        <f t="shared" si="7"/>
        <v>11</v>
      </c>
      <c r="S453" s="24">
        <v>2</v>
      </c>
      <c r="T453" s="21" t="s">
        <v>211</v>
      </c>
    </row>
    <row r="454" spans="1:20" ht="23.25" customHeight="1" x14ac:dyDescent="0.25">
      <c r="A454" s="20" t="s">
        <v>1870</v>
      </c>
      <c r="B454" s="22">
        <v>2024</v>
      </c>
      <c r="C454" s="90" t="s">
        <v>21</v>
      </c>
      <c r="D454" s="22" t="s">
        <v>1854</v>
      </c>
      <c r="E454" s="27" t="s">
        <v>1871</v>
      </c>
      <c r="F454" s="29" t="s">
        <v>23</v>
      </c>
      <c r="G454" s="20" t="s">
        <v>364</v>
      </c>
      <c r="H454" s="36" t="s">
        <v>1872</v>
      </c>
      <c r="I454" s="37">
        <v>45471</v>
      </c>
      <c r="J454" s="37">
        <v>45471</v>
      </c>
      <c r="K454" s="22" t="s">
        <v>35</v>
      </c>
      <c r="L454" s="28">
        <v>1520.37</v>
      </c>
      <c r="M454" s="86">
        <v>5</v>
      </c>
      <c r="N454" s="41">
        <v>51</v>
      </c>
      <c r="O454" s="23">
        <v>50</v>
      </c>
      <c r="P454" s="23">
        <v>0</v>
      </c>
      <c r="Q454" s="23">
        <v>0</v>
      </c>
      <c r="R454" s="23">
        <f t="shared" si="7"/>
        <v>50</v>
      </c>
      <c r="S454" s="22">
        <v>2</v>
      </c>
      <c r="T454" s="264" t="s">
        <v>1873</v>
      </c>
    </row>
    <row r="455" spans="1:20" ht="23.25" customHeight="1" x14ac:dyDescent="0.25">
      <c r="A455" s="21" t="s">
        <v>1874</v>
      </c>
      <c r="B455" s="24">
        <v>2024</v>
      </c>
      <c r="C455" s="90" t="s">
        <v>21</v>
      </c>
      <c r="D455" s="24" t="s">
        <v>1777</v>
      </c>
      <c r="E455" s="30" t="s">
        <v>1875</v>
      </c>
      <c r="F455" s="31" t="s">
        <v>23</v>
      </c>
      <c r="G455" s="21" t="s">
        <v>457</v>
      </c>
      <c r="H455" s="38" t="s">
        <v>1872</v>
      </c>
      <c r="I455" s="39">
        <v>45471</v>
      </c>
      <c r="J455" s="39">
        <v>45471</v>
      </c>
      <c r="K455" s="24" t="s">
        <v>26</v>
      </c>
      <c r="L455" s="26">
        <f>49600/8</f>
        <v>6200</v>
      </c>
      <c r="M455" s="87">
        <v>5</v>
      </c>
      <c r="N455" s="25">
        <v>20</v>
      </c>
      <c r="O455" s="25">
        <v>8</v>
      </c>
      <c r="P455" s="25">
        <v>0</v>
      </c>
      <c r="Q455" s="25">
        <v>0</v>
      </c>
      <c r="R455" s="25">
        <f t="shared" si="7"/>
        <v>8</v>
      </c>
      <c r="S455" s="24">
        <v>4</v>
      </c>
      <c r="T455" s="21" t="s">
        <v>1780</v>
      </c>
    </row>
    <row r="456" spans="1:20" ht="23.25" customHeight="1" x14ac:dyDescent="0.25">
      <c r="A456" s="20" t="s">
        <v>1876</v>
      </c>
      <c r="B456" s="22">
        <v>2024</v>
      </c>
      <c r="C456" s="90" t="s">
        <v>21</v>
      </c>
      <c r="D456" s="22"/>
      <c r="E456" s="27" t="s">
        <v>1877</v>
      </c>
      <c r="F456" s="29" t="s">
        <v>23</v>
      </c>
      <c r="G456" s="20" t="s">
        <v>199</v>
      </c>
      <c r="H456" s="57" t="s">
        <v>1872</v>
      </c>
      <c r="I456" s="37">
        <v>45471</v>
      </c>
      <c r="J456" s="37">
        <v>45471</v>
      </c>
      <c r="K456" s="22"/>
      <c r="L456" s="28"/>
      <c r="M456" s="86"/>
      <c r="N456" s="41"/>
      <c r="O456" s="23">
        <v>0</v>
      </c>
      <c r="P456" s="23">
        <v>0</v>
      </c>
      <c r="Q456" s="23">
        <v>0</v>
      </c>
      <c r="R456" s="23">
        <f t="shared" si="7"/>
        <v>0</v>
      </c>
      <c r="S456" s="22"/>
      <c r="T456" s="20"/>
    </row>
    <row r="457" spans="1:20" ht="23.25" customHeight="1" x14ac:dyDescent="0.25">
      <c r="A457" s="21" t="s">
        <v>1878</v>
      </c>
      <c r="B457" s="24">
        <v>2024</v>
      </c>
      <c r="C457" s="90" t="s">
        <v>21</v>
      </c>
      <c r="D457" s="24" t="s">
        <v>1879</v>
      </c>
      <c r="E457" s="30" t="s">
        <v>1880</v>
      </c>
      <c r="F457" s="31" t="s">
        <v>23</v>
      </c>
      <c r="G457" s="21" t="s">
        <v>38</v>
      </c>
      <c r="H457" s="38" t="s">
        <v>1881</v>
      </c>
      <c r="I457" s="39">
        <v>45474</v>
      </c>
      <c r="J457" s="39">
        <v>45478</v>
      </c>
      <c r="K457" s="24" t="s">
        <v>35</v>
      </c>
      <c r="L457" s="26">
        <v>12813.06</v>
      </c>
      <c r="M457" s="87">
        <v>4.9000000000000004</v>
      </c>
      <c r="N457" s="40">
        <v>20</v>
      </c>
      <c r="O457" s="25">
        <v>23</v>
      </c>
      <c r="P457" s="25">
        <v>0</v>
      </c>
      <c r="Q457" s="25">
        <v>0</v>
      </c>
      <c r="R457" s="25">
        <f t="shared" si="7"/>
        <v>23</v>
      </c>
      <c r="S457" s="24">
        <v>20</v>
      </c>
      <c r="T457" s="21" t="s">
        <v>1785</v>
      </c>
    </row>
    <row r="458" spans="1:20" ht="23.25" customHeight="1" x14ac:dyDescent="0.25">
      <c r="A458" s="20" t="s">
        <v>1882</v>
      </c>
      <c r="B458" s="22">
        <v>2024</v>
      </c>
      <c r="C458" s="90" t="s">
        <v>21</v>
      </c>
      <c r="D458" s="22" t="s">
        <v>1883</v>
      </c>
      <c r="E458" s="27" t="s">
        <v>1884</v>
      </c>
      <c r="F458" s="29" t="s">
        <v>23</v>
      </c>
      <c r="G458" s="20" t="s">
        <v>364</v>
      </c>
      <c r="H458" s="36" t="s">
        <v>1885</v>
      </c>
      <c r="I458" s="37">
        <v>45474</v>
      </c>
      <c r="J458" s="37">
        <v>45492</v>
      </c>
      <c r="K458" s="22" t="s">
        <v>35</v>
      </c>
      <c r="L458" s="28">
        <v>53208.480000000003</v>
      </c>
      <c r="M458" s="86">
        <v>4.9000000000000004</v>
      </c>
      <c r="N458" s="41">
        <v>23</v>
      </c>
      <c r="O458" s="23">
        <v>23</v>
      </c>
      <c r="P458" s="23">
        <v>0</v>
      </c>
      <c r="Q458" s="23">
        <v>0</v>
      </c>
      <c r="R458" s="23">
        <f t="shared" ref="R458:R521" si="8">SUM(O458:Q458)</f>
        <v>23</v>
      </c>
      <c r="S458" s="22">
        <v>76</v>
      </c>
      <c r="T458" s="20" t="s">
        <v>472</v>
      </c>
    </row>
    <row r="459" spans="1:20" ht="23.25" customHeight="1" x14ac:dyDescent="0.25">
      <c r="A459" s="21" t="s">
        <v>1886</v>
      </c>
      <c r="B459" s="24">
        <v>2024</v>
      </c>
      <c r="C459" s="90" t="s">
        <v>21</v>
      </c>
      <c r="D459" s="24" t="s">
        <v>1887</v>
      </c>
      <c r="E459" s="30" t="s">
        <v>1888</v>
      </c>
      <c r="F459" s="31" t="s">
        <v>62</v>
      </c>
      <c r="G459" s="21" t="s">
        <v>72</v>
      </c>
      <c r="H459" s="38" t="s">
        <v>1889</v>
      </c>
      <c r="I459" s="39">
        <v>45475</v>
      </c>
      <c r="J459" s="39">
        <v>45477</v>
      </c>
      <c r="K459" s="24" t="s">
        <v>35</v>
      </c>
      <c r="L459" s="26">
        <v>9416.2800000000007</v>
      </c>
      <c r="M459" s="87">
        <v>4.5999999999999996</v>
      </c>
      <c r="N459" s="40">
        <v>80</v>
      </c>
      <c r="O459" s="25">
        <v>0</v>
      </c>
      <c r="P459" s="25">
        <v>89</v>
      </c>
      <c r="Q459" s="25">
        <v>0</v>
      </c>
      <c r="R459" s="25">
        <f t="shared" si="8"/>
        <v>89</v>
      </c>
      <c r="S459" s="24">
        <v>12</v>
      </c>
      <c r="T459" s="265" t="s">
        <v>1890</v>
      </c>
    </row>
    <row r="460" spans="1:20" ht="23.25" customHeight="1" x14ac:dyDescent="0.25">
      <c r="A460" s="20" t="s">
        <v>1891</v>
      </c>
      <c r="B460" s="22">
        <v>2024</v>
      </c>
      <c r="C460" s="90" t="s">
        <v>21</v>
      </c>
      <c r="D460" s="22" t="s">
        <v>1892</v>
      </c>
      <c r="E460" s="27" t="s">
        <v>1893</v>
      </c>
      <c r="F460" s="29" t="s">
        <v>23</v>
      </c>
      <c r="G460" s="20" t="s">
        <v>68</v>
      </c>
      <c r="H460" s="36" t="s">
        <v>1894</v>
      </c>
      <c r="I460" s="37">
        <v>45476</v>
      </c>
      <c r="J460" s="37">
        <v>45476</v>
      </c>
      <c r="K460" s="22" t="s">
        <v>26</v>
      </c>
      <c r="L460" s="28">
        <v>23750</v>
      </c>
      <c r="M460" s="86">
        <v>4.8</v>
      </c>
      <c r="N460" s="41">
        <v>40</v>
      </c>
      <c r="O460" s="23">
        <v>22</v>
      </c>
      <c r="P460" s="23">
        <v>0</v>
      </c>
      <c r="Q460" s="23">
        <v>0</v>
      </c>
      <c r="R460" s="23">
        <f t="shared" si="8"/>
        <v>22</v>
      </c>
      <c r="S460" s="22">
        <v>19</v>
      </c>
      <c r="T460" s="20" t="s">
        <v>746</v>
      </c>
    </row>
    <row r="461" spans="1:20" ht="23.25" customHeight="1" x14ac:dyDescent="0.25">
      <c r="A461" s="21" t="s">
        <v>1895</v>
      </c>
      <c r="B461" s="24">
        <v>2024</v>
      </c>
      <c r="C461" s="90" t="s">
        <v>21</v>
      </c>
      <c r="D461" s="24" t="s">
        <v>1777</v>
      </c>
      <c r="E461" s="30" t="s">
        <v>1896</v>
      </c>
      <c r="F461" s="31" t="s">
        <v>23</v>
      </c>
      <c r="G461" s="21" t="s">
        <v>457</v>
      </c>
      <c r="H461" s="263" t="s">
        <v>1897</v>
      </c>
      <c r="I461" s="39">
        <v>45478</v>
      </c>
      <c r="J461" s="39">
        <v>45478</v>
      </c>
      <c r="K461" s="24" t="s">
        <v>26</v>
      </c>
      <c r="L461" s="26">
        <f>49600/8</f>
        <v>6200</v>
      </c>
      <c r="M461" s="87">
        <v>5</v>
      </c>
      <c r="N461" s="40">
        <v>20</v>
      </c>
      <c r="O461" s="25">
        <v>11</v>
      </c>
      <c r="P461" s="25">
        <v>0</v>
      </c>
      <c r="Q461" s="25">
        <v>0</v>
      </c>
      <c r="R461" s="25">
        <f t="shared" si="8"/>
        <v>11</v>
      </c>
      <c r="S461" s="24">
        <v>4</v>
      </c>
      <c r="T461" s="21" t="s">
        <v>1780</v>
      </c>
    </row>
    <row r="462" spans="1:20" ht="23.25" customHeight="1" x14ac:dyDescent="0.25">
      <c r="A462" s="20" t="s">
        <v>1898</v>
      </c>
      <c r="B462" s="22">
        <v>2024</v>
      </c>
      <c r="C462" s="90" t="s">
        <v>21</v>
      </c>
      <c r="D462" s="22" t="s">
        <v>1899</v>
      </c>
      <c r="E462" s="27" t="s">
        <v>1900</v>
      </c>
      <c r="F462" s="29" t="s">
        <v>23</v>
      </c>
      <c r="G462" s="20" t="s">
        <v>38</v>
      </c>
      <c r="H462" s="262" t="s">
        <v>1901</v>
      </c>
      <c r="I462" s="37">
        <v>45495</v>
      </c>
      <c r="J462" s="37">
        <v>45498</v>
      </c>
      <c r="K462" s="22" t="s">
        <v>35</v>
      </c>
      <c r="L462" s="28">
        <v>6800.66</v>
      </c>
      <c r="M462" s="86">
        <v>4.9000000000000004</v>
      </c>
      <c r="N462" s="41">
        <v>20</v>
      </c>
      <c r="O462" s="23">
        <v>21</v>
      </c>
      <c r="P462" s="23">
        <v>0</v>
      </c>
      <c r="Q462" s="23">
        <v>0</v>
      </c>
      <c r="R462" s="23">
        <f t="shared" si="8"/>
        <v>21</v>
      </c>
      <c r="S462" s="22">
        <v>12</v>
      </c>
      <c r="T462" s="20" t="s">
        <v>1902</v>
      </c>
    </row>
    <row r="463" spans="1:20" ht="23.25" customHeight="1" x14ac:dyDescent="0.25">
      <c r="A463" s="21" t="s">
        <v>1903</v>
      </c>
      <c r="B463" s="24">
        <v>2024</v>
      </c>
      <c r="C463" s="90" t="s">
        <v>21</v>
      </c>
      <c r="D463" s="24" t="s">
        <v>1904</v>
      </c>
      <c r="E463" s="30" t="s">
        <v>1905</v>
      </c>
      <c r="F463" s="31" t="s">
        <v>23</v>
      </c>
      <c r="G463" s="21" t="s">
        <v>24</v>
      </c>
      <c r="H463" s="38" t="s">
        <v>1906</v>
      </c>
      <c r="I463" s="39">
        <v>45497</v>
      </c>
      <c r="J463" s="39">
        <v>45501</v>
      </c>
      <c r="K463" s="24" t="s">
        <v>35</v>
      </c>
      <c r="L463" s="26">
        <v>10250.44</v>
      </c>
      <c r="M463" s="87">
        <v>4.8</v>
      </c>
      <c r="N463" s="40">
        <v>51</v>
      </c>
      <c r="O463" s="25">
        <v>51</v>
      </c>
      <c r="P463" s="25">
        <v>0</v>
      </c>
      <c r="Q463" s="25">
        <v>0</v>
      </c>
      <c r="R463" s="25">
        <f t="shared" si="8"/>
        <v>51</v>
      </c>
      <c r="S463" s="24">
        <v>16</v>
      </c>
      <c r="T463" s="265" t="s">
        <v>549</v>
      </c>
    </row>
    <row r="464" spans="1:20" ht="23.25" customHeight="1" x14ac:dyDescent="0.25">
      <c r="A464" s="20" t="s">
        <v>1907</v>
      </c>
      <c r="B464" s="22">
        <v>2024</v>
      </c>
      <c r="C464" s="90" t="s">
        <v>21</v>
      </c>
      <c r="D464" s="22" t="s">
        <v>1777</v>
      </c>
      <c r="E464" s="27" t="s">
        <v>1908</v>
      </c>
      <c r="F464" s="29" t="s">
        <v>23</v>
      </c>
      <c r="G464" s="20" t="s">
        <v>457</v>
      </c>
      <c r="H464" s="36" t="s">
        <v>1909</v>
      </c>
      <c r="I464" s="37">
        <v>45499</v>
      </c>
      <c r="J464" s="37">
        <v>45499</v>
      </c>
      <c r="K464" s="22" t="s">
        <v>26</v>
      </c>
      <c r="L464" s="28">
        <f>49600/8</f>
        <v>6200</v>
      </c>
      <c r="M464" s="86">
        <v>5</v>
      </c>
      <c r="N464" s="41">
        <v>20</v>
      </c>
      <c r="O464" s="23">
        <v>7</v>
      </c>
      <c r="P464" s="23">
        <v>0</v>
      </c>
      <c r="Q464" s="23">
        <v>0</v>
      </c>
      <c r="R464" s="23">
        <f t="shared" si="8"/>
        <v>7</v>
      </c>
      <c r="S464" s="22">
        <v>4</v>
      </c>
      <c r="T464" s="20" t="s">
        <v>1780</v>
      </c>
    </row>
    <row r="465" spans="1:20" ht="23.25" customHeight="1" x14ac:dyDescent="0.25">
      <c r="A465" s="21" t="s">
        <v>1910</v>
      </c>
      <c r="B465" s="24">
        <v>2024</v>
      </c>
      <c r="C465" s="90" t="s">
        <v>21</v>
      </c>
      <c r="D465" s="24" t="s">
        <v>1911</v>
      </c>
      <c r="E465" s="30" t="s">
        <v>1912</v>
      </c>
      <c r="F465" s="31" t="s">
        <v>23</v>
      </c>
      <c r="G465" s="21" t="s">
        <v>24</v>
      </c>
      <c r="H465" s="38" t="s">
        <v>1913</v>
      </c>
      <c r="I465" s="39">
        <v>45502</v>
      </c>
      <c r="J465" s="39">
        <v>45506</v>
      </c>
      <c r="K465" s="24" t="s">
        <v>35</v>
      </c>
      <c r="L465" s="26">
        <v>9416.4599999999991</v>
      </c>
      <c r="M465" s="87">
        <v>4.9000000000000004</v>
      </c>
      <c r="N465" s="40">
        <v>20</v>
      </c>
      <c r="O465" s="25">
        <v>22</v>
      </c>
      <c r="P465" s="25">
        <v>0</v>
      </c>
      <c r="Q465" s="25">
        <v>0</v>
      </c>
      <c r="R465" s="25">
        <f t="shared" si="8"/>
        <v>22</v>
      </c>
      <c r="S465" s="24">
        <v>12</v>
      </c>
      <c r="T465" s="21" t="s">
        <v>1914</v>
      </c>
    </row>
    <row r="466" spans="1:20" ht="23.25" customHeight="1" x14ac:dyDescent="0.25">
      <c r="A466" s="20" t="s">
        <v>1915</v>
      </c>
      <c r="B466" s="22">
        <v>2024</v>
      </c>
      <c r="C466" s="90" t="s">
        <v>21</v>
      </c>
      <c r="D466" s="22" t="s">
        <v>1916</v>
      </c>
      <c r="E466" s="27" t="s">
        <v>1917</v>
      </c>
      <c r="F466" s="29" t="s">
        <v>81</v>
      </c>
      <c r="G466" s="20" t="s">
        <v>68</v>
      </c>
      <c r="H466" s="36" t="s">
        <v>1918</v>
      </c>
      <c r="I466" s="37">
        <v>45502</v>
      </c>
      <c r="J466" s="37">
        <v>45504</v>
      </c>
      <c r="K466" s="22" t="s">
        <v>220</v>
      </c>
      <c r="L466" s="28">
        <v>0</v>
      </c>
      <c r="M466" s="86">
        <v>4.9000000000000004</v>
      </c>
      <c r="N466" s="41">
        <v>170</v>
      </c>
      <c r="O466" s="23">
        <v>23</v>
      </c>
      <c r="P466" s="23">
        <v>34</v>
      </c>
      <c r="Q466" s="23">
        <v>156</v>
      </c>
      <c r="R466" s="23">
        <f t="shared" si="8"/>
        <v>213</v>
      </c>
      <c r="S466" s="22">
        <v>24</v>
      </c>
      <c r="T466" s="20" t="s">
        <v>472</v>
      </c>
    </row>
    <row r="467" spans="1:20" ht="23.25" customHeight="1" x14ac:dyDescent="0.25">
      <c r="A467" s="21" t="s">
        <v>1919</v>
      </c>
      <c r="B467" s="24">
        <v>2024</v>
      </c>
      <c r="C467" s="90" t="s">
        <v>21</v>
      </c>
      <c r="D467" s="24" t="s">
        <v>1916</v>
      </c>
      <c r="E467" s="30" t="s">
        <v>1920</v>
      </c>
      <c r="F467" s="85" t="s">
        <v>23</v>
      </c>
      <c r="G467" s="21" t="s">
        <v>68</v>
      </c>
      <c r="H467" s="38" t="s">
        <v>1921</v>
      </c>
      <c r="I467" s="39">
        <v>45504</v>
      </c>
      <c r="J467" s="39">
        <v>45505</v>
      </c>
      <c r="K467" s="24" t="s">
        <v>26</v>
      </c>
      <c r="L467" s="26">
        <v>0</v>
      </c>
      <c r="M467" s="87">
        <v>4.9000000000000004</v>
      </c>
      <c r="N467" s="40">
        <v>80</v>
      </c>
      <c r="O467" s="25">
        <v>22</v>
      </c>
      <c r="P467" s="25">
        <v>0</v>
      </c>
      <c r="Q467" s="25">
        <v>70</v>
      </c>
      <c r="R467" s="25">
        <f t="shared" si="8"/>
        <v>92</v>
      </c>
      <c r="S467" s="24">
        <v>8</v>
      </c>
      <c r="T467" s="21" t="s">
        <v>472</v>
      </c>
    </row>
    <row r="468" spans="1:20" ht="23.25" customHeight="1" x14ac:dyDescent="0.25">
      <c r="A468" s="20" t="s">
        <v>1922</v>
      </c>
      <c r="B468" s="22">
        <v>2024</v>
      </c>
      <c r="C468" s="90" t="s">
        <v>21</v>
      </c>
      <c r="D468" s="22" t="s">
        <v>1923</v>
      </c>
      <c r="E468" s="27" t="s">
        <v>1924</v>
      </c>
      <c r="F468" s="29" t="s">
        <v>23</v>
      </c>
      <c r="G468" s="20" t="s">
        <v>38</v>
      </c>
      <c r="H468" s="36" t="s">
        <v>1925</v>
      </c>
      <c r="I468" s="37">
        <v>45510</v>
      </c>
      <c r="J468" s="37">
        <v>45512</v>
      </c>
      <c r="K468" s="22" t="s">
        <v>35</v>
      </c>
      <c r="L468" s="28">
        <v>2043.6</v>
      </c>
      <c r="M468" s="86">
        <v>4.7</v>
      </c>
      <c r="N468" s="41">
        <v>20</v>
      </c>
      <c r="O468" s="23">
        <v>18</v>
      </c>
      <c r="P468" s="23">
        <v>0</v>
      </c>
      <c r="Q468" s="23">
        <v>0</v>
      </c>
      <c r="R468" s="23">
        <f t="shared" si="8"/>
        <v>18</v>
      </c>
      <c r="S468" s="22">
        <v>4</v>
      </c>
      <c r="T468" s="20" t="s">
        <v>1926</v>
      </c>
    </row>
    <row r="469" spans="1:20" ht="23.25" customHeight="1" x14ac:dyDescent="0.25">
      <c r="A469" s="21" t="s">
        <v>1927</v>
      </c>
      <c r="B469" s="24">
        <v>2024</v>
      </c>
      <c r="C469" s="90" t="s">
        <v>21</v>
      </c>
      <c r="D469" s="24" t="s">
        <v>1777</v>
      </c>
      <c r="E469" s="30" t="s">
        <v>1928</v>
      </c>
      <c r="F469" s="31" t="s">
        <v>23</v>
      </c>
      <c r="G469" s="21" t="s">
        <v>457</v>
      </c>
      <c r="H469" s="38" t="s">
        <v>1929</v>
      </c>
      <c r="I469" s="39">
        <v>45513</v>
      </c>
      <c r="J469" s="39">
        <v>45513</v>
      </c>
      <c r="K469" s="24" t="s">
        <v>26</v>
      </c>
      <c r="L469" s="26">
        <f>49600/8</f>
        <v>6200</v>
      </c>
      <c r="M469" s="87">
        <v>4.8</v>
      </c>
      <c r="N469" s="40">
        <v>20</v>
      </c>
      <c r="O469" s="25">
        <v>8</v>
      </c>
      <c r="P469" s="25">
        <v>0</v>
      </c>
      <c r="Q469" s="25">
        <v>0</v>
      </c>
      <c r="R469" s="25">
        <f t="shared" si="8"/>
        <v>8</v>
      </c>
      <c r="S469" s="24">
        <v>4</v>
      </c>
      <c r="T469" s="21" t="s">
        <v>1780</v>
      </c>
    </row>
    <row r="470" spans="1:20" ht="23.25" customHeight="1" x14ac:dyDescent="0.25">
      <c r="A470" s="20" t="s">
        <v>1930</v>
      </c>
      <c r="B470" s="22">
        <v>2024</v>
      </c>
      <c r="C470" s="90" t="s">
        <v>21</v>
      </c>
      <c r="D470" s="22" t="s">
        <v>1777</v>
      </c>
      <c r="E470" s="27" t="s">
        <v>1931</v>
      </c>
      <c r="F470" s="29" t="s">
        <v>23</v>
      </c>
      <c r="G470" s="20" t="s">
        <v>457</v>
      </c>
      <c r="H470" s="36" t="s">
        <v>1932</v>
      </c>
      <c r="I470" s="37">
        <v>45513</v>
      </c>
      <c r="J470" s="37">
        <v>45513</v>
      </c>
      <c r="K470" s="22" t="s">
        <v>26</v>
      </c>
      <c r="L470" s="28">
        <f>49600/8</f>
        <v>6200</v>
      </c>
      <c r="M470" s="86">
        <v>4.8</v>
      </c>
      <c r="N470" s="41">
        <v>20</v>
      </c>
      <c r="O470" s="23">
        <v>8</v>
      </c>
      <c r="P470" s="23">
        <v>0</v>
      </c>
      <c r="Q470" s="23">
        <v>0</v>
      </c>
      <c r="R470" s="23">
        <f t="shared" si="8"/>
        <v>8</v>
      </c>
      <c r="S470" s="22">
        <v>4</v>
      </c>
      <c r="T470" s="20" t="s">
        <v>1780</v>
      </c>
    </row>
    <row r="471" spans="1:20" ht="23.25" customHeight="1" x14ac:dyDescent="0.25">
      <c r="A471" s="21" t="s">
        <v>1933</v>
      </c>
      <c r="B471" s="24">
        <v>2024</v>
      </c>
      <c r="C471" s="90" t="s">
        <v>21</v>
      </c>
      <c r="D471" s="24" t="s">
        <v>1934</v>
      </c>
      <c r="E471" s="30" t="s">
        <v>1935</v>
      </c>
      <c r="F471" s="31" t="s">
        <v>62</v>
      </c>
      <c r="G471" s="21" t="s">
        <v>72</v>
      </c>
      <c r="H471" s="38" t="s">
        <v>1936</v>
      </c>
      <c r="I471" s="39">
        <v>45519</v>
      </c>
      <c r="J471" s="39">
        <v>45520</v>
      </c>
      <c r="K471" s="24" t="s">
        <v>35</v>
      </c>
      <c r="L471" s="26">
        <f>566.73+2864.85</f>
        <v>3431.58</v>
      </c>
      <c r="M471" s="87">
        <v>4.9000000000000004</v>
      </c>
      <c r="N471" s="40">
        <v>400</v>
      </c>
      <c r="O471" s="25">
        <v>116</v>
      </c>
      <c r="P471" s="25">
        <v>268</v>
      </c>
      <c r="Q471" s="25">
        <v>0</v>
      </c>
      <c r="R471" s="25">
        <f t="shared" si="8"/>
        <v>384</v>
      </c>
      <c r="S471" s="24">
        <v>8</v>
      </c>
      <c r="T471" s="21" t="s">
        <v>472</v>
      </c>
    </row>
    <row r="472" spans="1:20" ht="23.25" customHeight="1" x14ac:dyDescent="0.25">
      <c r="A472" s="20" t="s">
        <v>1937</v>
      </c>
      <c r="B472" s="22">
        <v>2024</v>
      </c>
      <c r="C472" s="90" t="s">
        <v>21</v>
      </c>
      <c r="D472" s="22" t="s">
        <v>1938</v>
      </c>
      <c r="E472" s="27" t="s">
        <v>1939</v>
      </c>
      <c r="F472" s="29" t="s">
        <v>62</v>
      </c>
      <c r="G472" s="20" t="s">
        <v>72</v>
      </c>
      <c r="H472" s="36" t="s">
        <v>1940</v>
      </c>
      <c r="I472" s="37">
        <v>45523</v>
      </c>
      <c r="J472" s="37">
        <v>45525</v>
      </c>
      <c r="K472" s="22" t="s">
        <v>35</v>
      </c>
      <c r="L472" s="28">
        <v>9211.69</v>
      </c>
      <c r="M472" s="86">
        <v>4.8</v>
      </c>
      <c r="N472" s="41">
        <v>30</v>
      </c>
      <c r="O472" s="23">
        <v>0</v>
      </c>
      <c r="P472" s="23">
        <v>24</v>
      </c>
      <c r="Q472" s="23">
        <v>0</v>
      </c>
      <c r="R472" s="23">
        <f t="shared" si="8"/>
        <v>24</v>
      </c>
      <c r="S472" s="22">
        <v>12</v>
      </c>
      <c r="T472" s="20" t="s">
        <v>1941</v>
      </c>
    </row>
    <row r="473" spans="1:20" ht="23.25" customHeight="1" x14ac:dyDescent="0.25">
      <c r="A473" s="21" t="s">
        <v>1942</v>
      </c>
      <c r="B473" s="24">
        <v>2024</v>
      </c>
      <c r="C473" s="90" t="s">
        <v>21</v>
      </c>
      <c r="D473" s="24" t="s">
        <v>1943</v>
      </c>
      <c r="E473" s="30" t="s">
        <v>1944</v>
      </c>
      <c r="F473" s="31" t="s">
        <v>62</v>
      </c>
      <c r="G473" s="21" t="s">
        <v>72</v>
      </c>
      <c r="H473" s="38" t="s">
        <v>1945</v>
      </c>
      <c r="I473" s="39">
        <v>45524</v>
      </c>
      <c r="J473" s="39">
        <v>45534</v>
      </c>
      <c r="K473" s="24" t="s">
        <v>220</v>
      </c>
      <c r="L473" s="26">
        <v>18349.060000000001</v>
      </c>
      <c r="M473" s="87">
        <v>4.8</v>
      </c>
      <c r="N473" s="40">
        <v>30</v>
      </c>
      <c r="O473" s="25">
        <v>23</v>
      </c>
      <c r="P473" s="25">
        <v>12</v>
      </c>
      <c r="Q473" s="25">
        <v>0</v>
      </c>
      <c r="R473" s="25">
        <f t="shared" si="8"/>
        <v>35</v>
      </c>
      <c r="S473" s="24">
        <v>20</v>
      </c>
      <c r="T473" s="21" t="s">
        <v>1946</v>
      </c>
    </row>
    <row r="474" spans="1:20" ht="23.25" customHeight="1" x14ac:dyDescent="0.25">
      <c r="A474" s="20" t="s">
        <v>1947</v>
      </c>
      <c r="B474" s="22">
        <v>2024</v>
      </c>
      <c r="C474" s="90" t="s">
        <v>21</v>
      </c>
      <c r="D474" s="22" t="s">
        <v>1948</v>
      </c>
      <c r="E474" s="27" t="s">
        <v>1949</v>
      </c>
      <c r="F474" s="29" t="s">
        <v>62</v>
      </c>
      <c r="G474" s="20" t="s">
        <v>72</v>
      </c>
      <c r="H474" s="36" t="s">
        <v>1950</v>
      </c>
      <c r="I474" s="37">
        <v>45524</v>
      </c>
      <c r="J474" s="37">
        <v>45524</v>
      </c>
      <c r="K474" s="22" t="s">
        <v>35</v>
      </c>
      <c r="L474" s="28">
        <v>2266.94</v>
      </c>
      <c r="M474" s="86">
        <v>5</v>
      </c>
      <c r="N474" s="41">
        <v>80</v>
      </c>
      <c r="O474" s="23">
        <v>0</v>
      </c>
      <c r="P474" s="23">
        <v>53</v>
      </c>
      <c r="Q474" s="23">
        <v>0</v>
      </c>
      <c r="R474" s="23">
        <f t="shared" si="8"/>
        <v>53</v>
      </c>
      <c r="S474" s="22">
        <v>4</v>
      </c>
      <c r="T474" s="20" t="s">
        <v>1951</v>
      </c>
    </row>
    <row r="475" spans="1:20" ht="23.25" customHeight="1" x14ac:dyDescent="0.25">
      <c r="A475" s="21" t="s">
        <v>1952</v>
      </c>
      <c r="B475" s="24">
        <v>2024</v>
      </c>
      <c r="C475" s="90" t="s">
        <v>21</v>
      </c>
      <c r="D475" s="24" t="s">
        <v>1953</v>
      </c>
      <c r="E475" s="30" t="s">
        <v>1954</v>
      </c>
      <c r="F475" s="31" t="s">
        <v>23</v>
      </c>
      <c r="G475" s="21" t="s">
        <v>38</v>
      </c>
      <c r="H475" s="38" t="s">
        <v>1955</v>
      </c>
      <c r="I475" s="39">
        <v>45524</v>
      </c>
      <c r="J475" s="39">
        <v>45525</v>
      </c>
      <c r="K475" s="24" t="s">
        <v>35</v>
      </c>
      <c r="L475" s="26">
        <v>2349.29</v>
      </c>
      <c r="M475" s="87">
        <v>4.7</v>
      </c>
      <c r="N475" s="40">
        <v>20</v>
      </c>
      <c r="O475" s="25">
        <v>12</v>
      </c>
      <c r="P475" s="25">
        <v>0</v>
      </c>
      <c r="Q475" s="25">
        <v>0</v>
      </c>
      <c r="R475" s="25">
        <f t="shared" si="8"/>
        <v>12</v>
      </c>
      <c r="S475" s="24">
        <v>8</v>
      </c>
      <c r="T475" s="21" t="s">
        <v>1956</v>
      </c>
    </row>
    <row r="476" spans="1:20" ht="23.25" customHeight="1" x14ac:dyDescent="0.25">
      <c r="A476" s="20" t="s">
        <v>1957</v>
      </c>
      <c r="B476" s="22">
        <v>2024</v>
      </c>
      <c r="C476" s="90" t="s">
        <v>21</v>
      </c>
      <c r="D476" s="22" t="s">
        <v>1958</v>
      </c>
      <c r="E476" s="27" t="s">
        <v>1959</v>
      </c>
      <c r="F476" s="29" t="s">
        <v>62</v>
      </c>
      <c r="G476" s="20" t="s">
        <v>72</v>
      </c>
      <c r="H476" s="36" t="s">
        <v>1960</v>
      </c>
      <c r="I476" s="37">
        <v>45525</v>
      </c>
      <c r="J476" s="37">
        <v>45525</v>
      </c>
      <c r="K476" s="22" t="s">
        <v>35</v>
      </c>
      <c r="L476" s="28">
        <v>1830.98</v>
      </c>
      <c r="M476" s="86">
        <v>4.5999999999999996</v>
      </c>
      <c r="N476" s="41">
        <v>80</v>
      </c>
      <c r="O476" s="23">
        <v>0</v>
      </c>
      <c r="P476" s="23">
        <v>60</v>
      </c>
      <c r="Q476" s="23">
        <v>0</v>
      </c>
      <c r="R476" s="23">
        <f t="shared" si="8"/>
        <v>60</v>
      </c>
      <c r="S476" s="22">
        <v>4</v>
      </c>
      <c r="T476" s="20" t="s">
        <v>1961</v>
      </c>
    </row>
    <row r="477" spans="1:20" ht="23.25" customHeight="1" x14ac:dyDescent="0.25">
      <c r="A477" s="21" t="s">
        <v>1962</v>
      </c>
      <c r="B477" s="24">
        <v>2024</v>
      </c>
      <c r="C477" s="90" t="s">
        <v>21</v>
      </c>
      <c r="D477" s="24" t="s">
        <v>1963</v>
      </c>
      <c r="E477" s="30" t="s">
        <v>1964</v>
      </c>
      <c r="F477" s="31" t="s">
        <v>62</v>
      </c>
      <c r="G477" s="21" t="s">
        <v>72</v>
      </c>
      <c r="H477" s="38" t="s">
        <v>1965</v>
      </c>
      <c r="I477" s="39">
        <v>45526</v>
      </c>
      <c r="J477" s="39">
        <v>45526</v>
      </c>
      <c r="K477" s="24" t="s">
        <v>35</v>
      </c>
      <c r="L477" s="26">
        <v>2266.94</v>
      </c>
      <c r="M477" s="87">
        <v>4.7</v>
      </c>
      <c r="N477" s="40">
        <v>20</v>
      </c>
      <c r="O477" s="25">
        <v>0</v>
      </c>
      <c r="P477" s="25">
        <v>14</v>
      </c>
      <c r="Q477" s="25">
        <v>0</v>
      </c>
      <c r="R477" s="25">
        <f t="shared" si="8"/>
        <v>14</v>
      </c>
      <c r="S477" s="24">
        <v>4</v>
      </c>
      <c r="T477" s="21" t="s">
        <v>1055</v>
      </c>
    </row>
    <row r="478" spans="1:20" ht="23.25" customHeight="1" x14ac:dyDescent="0.25">
      <c r="A478" s="20" t="s">
        <v>1966</v>
      </c>
      <c r="B478" s="22">
        <v>2024</v>
      </c>
      <c r="C478" s="90" t="s">
        <v>21</v>
      </c>
      <c r="D478" s="22" t="s">
        <v>1967</v>
      </c>
      <c r="E478" s="27" t="s">
        <v>1968</v>
      </c>
      <c r="F478" s="29" t="s">
        <v>23</v>
      </c>
      <c r="G478" s="20" t="s">
        <v>24</v>
      </c>
      <c r="H478" s="36" t="s">
        <v>1969</v>
      </c>
      <c r="I478" s="37">
        <v>45530</v>
      </c>
      <c r="J478" s="37">
        <v>45533</v>
      </c>
      <c r="K478" s="22" t="s">
        <v>35</v>
      </c>
      <c r="L478" s="28">
        <v>9416.4599999999991</v>
      </c>
      <c r="M478" s="86">
        <v>4.8</v>
      </c>
      <c r="N478" s="41">
        <v>20</v>
      </c>
      <c r="O478" s="23">
        <v>20</v>
      </c>
      <c r="P478" s="23">
        <v>0</v>
      </c>
      <c r="Q478" s="23">
        <v>0</v>
      </c>
      <c r="R478" s="23">
        <f t="shared" si="8"/>
        <v>20</v>
      </c>
      <c r="S478" s="22">
        <v>12</v>
      </c>
      <c r="T478" s="20" t="s">
        <v>1914</v>
      </c>
    </row>
    <row r="479" spans="1:20" ht="23.25" customHeight="1" x14ac:dyDescent="0.25">
      <c r="A479" s="21" t="s">
        <v>1970</v>
      </c>
      <c r="B479" s="24">
        <v>2024</v>
      </c>
      <c r="C479" s="90" t="s">
        <v>21</v>
      </c>
      <c r="D479" s="24" t="s">
        <v>1971</v>
      </c>
      <c r="E479" s="30" t="s">
        <v>1972</v>
      </c>
      <c r="F479" s="31" t="s">
        <v>81</v>
      </c>
      <c r="G479" s="21" t="s">
        <v>72</v>
      </c>
      <c r="H479" s="38" t="s">
        <v>1973</v>
      </c>
      <c r="I479" s="39">
        <v>45530</v>
      </c>
      <c r="J479" s="39">
        <v>45534</v>
      </c>
      <c r="K479" s="24" t="s">
        <v>35</v>
      </c>
      <c r="L479" s="26">
        <v>10181.9</v>
      </c>
      <c r="M479" s="87">
        <v>4.8</v>
      </c>
      <c r="N479" s="40">
        <v>30</v>
      </c>
      <c r="O479" s="25">
        <v>0</v>
      </c>
      <c r="P479" s="25">
        <v>0</v>
      </c>
      <c r="Q479" s="25">
        <v>56</v>
      </c>
      <c r="R479" s="25">
        <f t="shared" si="8"/>
        <v>56</v>
      </c>
      <c r="S479" s="24">
        <v>20</v>
      </c>
      <c r="T479" s="21" t="s">
        <v>1974</v>
      </c>
    </row>
    <row r="480" spans="1:20" ht="23.25" customHeight="1" x14ac:dyDescent="0.25">
      <c r="A480" s="20" t="s">
        <v>1975</v>
      </c>
      <c r="B480" s="22">
        <v>2024</v>
      </c>
      <c r="C480" s="90" t="s">
        <v>21</v>
      </c>
      <c r="D480" s="22" t="s">
        <v>1976</v>
      </c>
      <c r="E480" s="27" t="s">
        <v>1977</v>
      </c>
      <c r="F480" s="29" t="s">
        <v>62</v>
      </c>
      <c r="G480" s="20" t="s">
        <v>72</v>
      </c>
      <c r="H480" s="36" t="s">
        <v>1978</v>
      </c>
      <c r="I480" s="37">
        <v>45537</v>
      </c>
      <c r="J480" s="37">
        <v>45539</v>
      </c>
      <c r="K480" s="22" t="s">
        <v>35</v>
      </c>
      <c r="L480" s="28">
        <v>6800.82</v>
      </c>
      <c r="M480" s="86">
        <v>4.7</v>
      </c>
      <c r="N480" s="41">
        <v>40</v>
      </c>
      <c r="O480" s="23">
        <v>0</v>
      </c>
      <c r="P480" s="23">
        <v>38</v>
      </c>
      <c r="Q480" s="23">
        <v>0</v>
      </c>
      <c r="R480" s="23">
        <f t="shared" si="8"/>
        <v>38</v>
      </c>
      <c r="S480" s="22">
        <v>12</v>
      </c>
      <c r="T480" s="20" t="s">
        <v>1055</v>
      </c>
    </row>
    <row r="481" spans="1:20" ht="23.25" customHeight="1" x14ac:dyDescent="0.25">
      <c r="A481" s="21" t="s">
        <v>1979</v>
      </c>
      <c r="B481" s="24">
        <v>2024</v>
      </c>
      <c r="C481" s="90" t="s">
        <v>21</v>
      </c>
      <c r="D481" s="24" t="s">
        <v>1782</v>
      </c>
      <c r="E481" s="30" t="s">
        <v>1980</v>
      </c>
      <c r="F481" s="31" t="s">
        <v>23</v>
      </c>
      <c r="G481" s="21" t="s">
        <v>38</v>
      </c>
      <c r="H481" s="38" t="s">
        <v>1981</v>
      </c>
      <c r="I481" s="39">
        <v>45537</v>
      </c>
      <c r="J481" s="39">
        <v>45540</v>
      </c>
      <c r="K481" s="24" t="s">
        <v>35</v>
      </c>
      <c r="L481" s="26">
        <v>12221.66</v>
      </c>
      <c r="M481" s="87">
        <v>4.9000000000000004</v>
      </c>
      <c r="N481" s="40">
        <v>20</v>
      </c>
      <c r="O481" s="25">
        <v>13</v>
      </c>
      <c r="P481" s="25">
        <v>0</v>
      </c>
      <c r="Q481" s="25">
        <v>0</v>
      </c>
      <c r="R481" s="25">
        <f t="shared" si="8"/>
        <v>13</v>
      </c>
      <c r="S481" s="24">
        <v>16</v>
      </c>
      <c r="T481" s="21" t="s">
        <v>1982</v>
      </c>
    </row>
    <row r="482" spans="1:20" ht="23.25" customHeight="1" x14ac:dyDescent="0.25">
      <c r="A482" s="20" t="s">
        <v>1983</v>
      </c>
      <c r="B482" s="22">
        <v>2024</v>
      </c>
      <c r="C482" s="90" t="s">
        <v>21</v>
      </c>
      <c r="D482" s="22" t="s">
        <v>1984</v>
      </c>
      <c r="E482" s="27" t="s">
        <v>1985</v>
      </c>
      <c r="F482" s="29" t="s">
        <v>23</v>
      </c>
      <c r="G482" s="20" t="s">
        <v>38</v>
      </c>
      <c r="H482" s="36" t="s">
        <v>1986</v>
      </c>
      <c r="I482" s="37">
        <v>45545</v>
      </c>
      <c r="J482" s="37">
        <v>45547</v>
      </c>
      <c r="K482" s="22" t="s">
        <v>26</v>
      </c>
      <c r="L482" s="28">
        <v>18534.060000000001</v>
      </c>
      <c r="M482" s="86">
        <v>4.8</v>
      </c>
      <c r="N482" s="41">
        <v>20</v>
      </c>
      <c r="O482" s="23">
        <v>24</v>
      </c>
      <c r="P482" s="23">
        <v>0</v>
      </c>
      <c r="Q482" s="23">
        <v>0</v>
      </c>
      <c r="R482" s="23">
        <f t="shared" si="8"/>
        <v>24</v>
      </c>
      <c r="S482" s="22">
        <v>18</v>
      </c>
      <c r="T482" s="20" t="s">
        <v>1987</v>
      </c>
    </row>
    <row r="483" spans="1:20" ht="23.25" customHeight="1" x14ac:dyDescent="0.25">
      <c r="A483" s="21" t="s">
        <v>1988</v>
      </c>
      <c r="B483" s="24">
        <v>2024</v>
      </c>
      <c r="C483" s="90" t="s">
        <v>21</v>
      </c>
      <c r="D483" s="24" t="s">
        <v>1713</v>
      </c>
      <c r="E483" s="30" t="s">
        <v>1714</v>
      </c>
      <c r="F483" s="31" t="s">
        <v>23</v>
      </c>
      <c r="G483" s="21" t="s">
        <v>199</v>
      </c>
      <c r="H483" s="38" t="s">
        <v>1989</v>
      </c>
      <c r="I483" s="39">
        <v>45545</v>
      </c>
      <c r="J483" s="39">
        <v>45554</v>
      </c>
      <c r="K483" s="24" t="s">
        <v>35</v>
      </c>
      <c r="L483" s="26">
        <v>9067.76</v>
      </c>
      <c r="M483" s="87">
        <v>4.9000000000000004</v>
      </c>
      <c r="N483" s="40">
        <v>20</v>
      </c>
      <c r="O483" s="25">
        <v>19</v>
      </c>
      <c r="P483" s="25">
        <v>0</v>
      </c>
      <c r="Q483" s="25">
        <v>0</v>
      </c>
      <c r="R483" s="25">
        <f t="shared" si="8"/>
        <v>19</v>
      </c>
      <c r="S483" s="24">
        <v>16</v>
      </c>
      <c r="T483" s="21" t="s">
        <v>1716</v>
      </c>
    </row>
    <row r="484" spans="1:20" ht="23.25" customHeight="1" x14ac:dyDescent="0.25">
      <c r="A484" s="20" t="s">
        <v>1990</v>
      </c>
      <c r="B484" s="22">
        <v>2024</v>
      </c>
      <c r="C484" s="90" t="s">
        <v>21</v>
      </c>
      <c r="D484" s="22" t="s">
        <v>1963</v>
      </c>
      <c r="E484" s="27" t="s">
        <v>1991</v>
      </c>
      <c r="F484" s="29" t="s">
        <v>62</v>
      </c>
      <c r="G484" s="20" t="s">
        <v>72</v>
      </c>
      <c r="H484" s="36" t="s">
        <v>1992</v>
      </c>
      <c r="I484" s="37">
        <v>45547</v>
      </c>
      <c r="J484" s="37">
        <v>45547</v>
      </c>
      <c r="K484" s="22" t="s">
        <v>35</v>
      </c>
      <c r="L484" s="28">
        <v>2266.94</v>
      </c>
      <c r="M484" s="86">
        <v>5</v>
      </c>
      <c r="N484" s="41">
        <v>20</v>
      </c>
      <c r="O484" s="23">
        <v>0</v>
      </c>
      <c r="P484" s="23">
        <v>10</v>
      </c>
      <c r="Q484" s="23">
        <v>0</v>
      </c>
      <c r="R484" s="23">
        <f t="shared" si="8"/>
        <v>10</v>
      </c>
      <c r="S484" s="22">
        <v>4</v>
      </c>
      <c r="T484" s="20" t="s">
        <v>1055</v>
      </c>
    </row>
    <row r="485" spans="1:20" ht="23.25" customHeight="1" x14ac:dyDescent="0.25">
      <c r="A485" s="21" t="s">
        <v>1993</v>
      </c>
      <c r="B485" s="24">
        <v>2024</v>
      </c>
      <c r="C485" s="90" t="s">
        <v>21</v>
      </c>
      <c r="D485" s="24" t="s">
        <v>1777</v>
      </c>
      <c r="E485" s="30" t="s">
        <v>1994</v>
      </c>
      <c r="F485" s="31" t="s">
        <v>23</v>
      </c>
      <c r="G485" s="21" t="s">
        <v>457</v>
      </c>
      <c r="H485" s="38" t="s">
        <v>1995</v>
      </c>
      <c r="I485" s="39">
        <v>45548</v>
      </c>
      <c r="J485" s="39">
        <v>45548</v>
      </c>
      <c r="K485" s="24" t="s">
        <v>26</v>
      </c>
      <c r="L485" s="26">
        <f>49600/8</f>
        <v>6200</v>
      </c>
      <c r="M485" s="87">
        <v>5</v>
      </c>
      <c r="N485" s="25">
        <v>20</v>
      </c>
      <c r="O485" s="25">
        <v>5</v>
      </c>
      <c r="P485" s="25">
        <v>0</v>
      </c>
      <c r="Q485" s="25">
        <v>0</v>
      </c>
      <c r="R485" s="25">
        <f t="shared" si="8"/>
        <v>5</v>
      </c>
      <c r="S485" s="24">
        <v>4</v>
      </c>
      <c r="T485" s="21" t="s">
        <v>1780</v>
      </c>
    </row>
    <row r="486" spans="1:20" ht="23.25" customHeight="1" x14ac:dyDescent="0.25">
      <c r="A486" s="20" t="s">
        <v>1996</v>
      </c>
      <c r="B486" s="22">
        <v>2024</v>
      </c>
      <c r="C486" s="90" t="s">
        <v>21</v>
      </c>
      <c r="D486" s="22" t="s">
        <v>1770</v>
      </c>
      <c r="E486" s="27" t="s">
        <v>1771</v>
      </c>
      <c r="F486" s="29" t="s">
        <v>23</v>
      </c>
      <c r="G486" s="20" t="s">
        <v>199</v>
      </c>
      <c r="H486" s="36" t="s">
        <v>1997</v>
      </c>
      <c r="I486" s="37">
        <v>45551</v>
      </c>
      <c r="J486" s="37">
        <v>45562</v>
      </c>
      <c r="K486" s="22" t="s">
        <v>26</v>
      </c>
      <c r="L486" s="28">
        <v>19900</v>
      </c>
      <c r="M486" s="86">
        <v>4.8</v>
      </c>
      <c r="N486" s="41">
        <v>20</v>
      </c>
      <c r="O486" s="23">
        <v>21</v>
      </c>
      <c r="P486" s="23">
        <v>0</v>
      </c>
      <c r="Q486" s="23">
        <v>0</v>
      </c>
      <c r="R486" s="23">
        <f t="shared" si="8"/>
        <v>21</v>
      </c>
      <c r="S486" s="22">
        <v>24</v>
      </c>
      <c r="T486" s="20" t="s">
        <v>1258</v>
      </c>
    </row>
    <row r="487" spans="1:20" ht="23.25" customHeight="1" x14ac:dyDescent="0.25">
      <c r="A487" s="21" t="s">
        <v>1998</v>
      </c>
      <c r="B487" s="24">
        <v>2024</v>
      </c>
      <c r="C487" s="90" t="s">
        <v>21</v>
      </c>
      <c r="D487" s="24" t="s">
        <v>1999</v>
      </c>
      <c r="E487" s="30" t="s">
        <v>2000</v>
      </c>
      <c r="F487" s="31" t="s">
        <v>23</v>
      </c>
      <c r="G487" s="21" t="s">
        <v>33</v>
      </c>
      <c r="H487" s="38" t="s">
        <v>2001</v>
      </c>
      <c r="I487" s="39">
        <v>45551</v>
      </c>
      <c r="J487" s="39">
        <v>45555</v>
      </c>
      <c r="K487" s="24" t="s">
        <v>35</v>
      </c>
      <c r="L487" s="26">
        <v>12813.06</v>
      </c>
      <c r="M487" s="87">
        <v>4.7</v>
      </c>
      <c r="N487" s="40">
        <v>20</v>
      </c>
      <c r="O487" s="25">
        <v>19</v>
      </c>
      <c r="P487" s="25">
        <v>0</v>
      </c>
      <c r="Q487" s="25">
        <v>0</v>
      </c>
      <c r="R487" s="25">
        <f t="shared" si="8"/>
        <v>19</v>
      </c>
      <c r="S487" s="24">
        <v>20</v>
      </c>
      <c r="T487" s="21" t="s">
        <v>211</v>
      </c>
    </row>
    <row r="488" spans="1:20" ht="23.25" customHeight="1" x14ac:dyDescent="0.25">
      <c r="A488" s="20" t="s">
        <v>2002</v>
      </c>
      <c r="B488" s="22">
        <v>2024</v>
      </c>
      <c r="C488" s="90" t="s">
        <v>21</v>
      </c>
      <c r="D488" s="22" t="s">
        <v>1777</v>
      </c>
      <c r="E488" s="27" t="s">
        <v>2003</v>
      </c>
      <c r="F488" s="29" t="s">
        <v>23</v>
      </c>
      <c r="G488" s="20" t="s">
        <v>457</v>
      </c>
      <c r="H488" s="36" t="s">
        <v>2004</v>
      </c>
      <c r="I488" s="37">
        <v>45555</v>
      </c>
      <c r="J488" s="37">
        <v>45555</v>
      </c>
      <c r="K488" s="22" t="s">
        <v>26</v>
      </c>
      <c r="L488" s="28">
        <f>49600/8</f>
        <v>6200</v>
      </c>
      <c r="M488" s="86">
        <v>5</v>
      </c>
      <c r="N488" s="23">
        <v>20</v>
      </c>
      <c r="O488" s="23">
        <v>7</v>
      </c>
      <c r="P488" s="23">
        <v>0</v>
      </c>
      <c r="Q488" s="23">
        <v>0</v>
      </c>
      <c r="R488" s="23">
        <f t="shared" si="8"/>
        <v>7</v>
      </c>
      <c r="S488" s="22">
        <v>4</v>
      </c>
      <c r="T488" s="20" t="s">
        <v>1780</v>
      </c>
    </row>
    <row r="489" spans="1:20" ht="23.25" customHeight="1" x14ac:dyDescent="0.25">
      <c r="A489" s="21" t="s">
        <v>2005</v>
      </c>
      <c r="B489" s="261">
        <v>2024</v>
      </c>
      <c r="C489" s="91" t="s">
        <v>21</v>
      </c>
      <c r="D489" s="64" t="s">
        <v>1696</v>
      </c>
      <c r="E489" s="58" t="s">
        <v>2006</v>
      </c>
      <c r="F489" s="31" t="s">
        <v>62</v>
      </c>
      <c r="G489" s="45" t="s">
        <v>72</v>
      </c>
      <c r="H489" s="59" t="s">
        <v>2007</v>
      </c>
      <c r="I489" s="60">
        <v>45558</v>
      </c>
      <c r="J489" s="60">
        <v>45562</v>
      </c>
      <c r="K489" s="24" t="s">
        <v>35</v>
      </c>
      <c r="L489" s="61">
        <v>12813.06</v>
      </c>
      <c r="M489" s="88">
        <v>4.8</v>
      </c>
      <c r="N489" s="62">
        <v>20</v>
      </c>
      <c r="O489" s="63">
        <v>4</v>
      </c>
      <c r="P489" s="63">
        <v>15</v>
      </c>
      <c r="Q489" s="63">
        <v>0</v>
      </c>
      <c r="R489" s="25">
        <f t="shared" si="8"/>
        <v>19</v>
      </c>
      <c r="S489" s="64">
        <v>20</v>
      </c>
      <c r="T489" s="45" t="s">
        <v>74</v>
      </c>
    </row>
    <row r="490" spans="1:20" ht="23.25" customHeight="1" x14ac:dyDescent="0.25">
      <c r="A490" s="20" t="s">
        <v>2008</v>
      </c>
      <c r="B490" s="22">
        <v>2024</v>
      </c>
      <c r="C490" s="91" t="s">
        <v>21</v>
      </c>
      <c r="D490" s="70" t="s">
        <v>1971</v>
      </c>
      <c r="E490" s="65" t="s">
        <v>2009</v>
      </c>
      <c r="F490" s="66" t="s">
        <v>81</v>
      </c>
      <c r="G490" s="67" t="s">
        <v>72</v>
      </c>
      <c r="H490" s="68" t="s">
        <v>2007</v>
      </c>
      <c r="I490" s="69">
        <v>45558</v>
      </c>
      <c r="J490" s="69">
        <v>45562</v>
      </c>
      <c r="K490" s="70" t="s">
        <v>35</v>
      </c>
      <c r="L490" s="71">
        <f>9154.9+1027</f>
        <v>10181.9</v>
      </c>
      <c r="M490" s="89">
        <v>4.7</v>
      </c>
      <c r="N490" s="72">
        <v>30</v>
      </c>
      <c r="O490" s="73">
        <v>0</v>
      </c>
      <c r="P490" s="73">
        <v>0</v>
      </c>
      <c r="Q490" s="73">
        <v>61</v>
      </c>
      <c r="R490" s="23">
        <f t="shared" si="8"/>
        <v>61</v>
      </c>
      <c r="S490" s="70">
        <v>20</v>
      </c>
      <c r="T490" s="67" t="s">
        <v>1974</v>
      </c>
    </row>
    <row r="491" spans="1:20" ht="23.25" customHeight="1" x14ac:dyDescent="0.25">
      <c r="A491" s="21" t="s">
        <v>2010</v>
      </c>
      <c r="B491" s="24">
        <v>2024</v>
      </c>
      <c r="C491" s="91" t="s">
        <v>21</v>
      </c>
      <c r="D491" s="64" t="s">
        <v>2011</v>
      </c>
      <c r="E491" s="58" t="s">
        <v>2012</v>
      </c>
      <c r="F491" s="74" t="s">
        <v>23</v>
      </c>
      <c r="G491" s="45" t="s">
        <v>68</v>
      </c>
      <c r="H491" s="59" t="s">
        <v>2013</v>
      </c>
      <c r="I491" s="60">
        <v>45559</v>
      </c>
      <c r="J491" s="60">
        <v>45559</v>
      </c>
      <c r="K491" s="64" t="s">
        <v>35</v>
      </c>
      <c r="L491" s="61">
        <v>4533.88</v>
      </c>
      <c r="M491" s="88">
        <v>4.7</v>
      </c>
      <c r="N491" s="62">
        <v>25</v>
      </c>
      <c r="O491" s="63">
        <v>32</v>
      </c>
      <c r="P491" s="63">
        <v>0</v>
      </c>
      <c r="Q491" s="63">
        <v>0</v>
      </c>
      <c r="R491" s="25">
        <f t="shared" si="8"/>
        <v>32</v>
      </c>
      <c r="S491" s="64">
        <v>8</v>
      </c>
      <c r="T491" s="45" t="s">
        <v>2014</v>
      </c>
    </row>
    <row r="492" spans="1:20" ht="23.25" customHeight="1" x14ac:dyDescent="0.25">
      <c r="A492" s="20" t="s">
        <v>2015</v>
      </c>
      <c r="B492" s="22">
        <v>2024</v>
      </c>
      <c r="C492" s="91" t="s">
        <v>21</v>
      </c>
      <c r="D492" s="70" t="s">
        <v>2016</v>
      </c>
      <c r="E492" s="65" t="s">
        <v>2017</v>
      </c>
      <c r="F492" s="66" t="s">
        <v>62</v>
      </c>
      <c r="G492" s="67" t="s">
        <v>72</v>
      </c>
      <c r="H492" s="68" t="s">
        <v>2018</v>
      </c>
      <c r="I492" s="69">
        <v>45566</v>
      </c>
      <c r="J492" s="69">
        <v>45575</v>
      </c>
      <c r="K492" s="70" t="s">
        <v>35</v>
      </c>
      <c r="L492" s="71">
        <v>16717.68</v>
      </c>
      <c r="M492" s="89">
        <v>4.7</v>
      </c>
      <c r="N492" s="72">
        <v>40</v>
      </c>
      <c r="O492" s="73">
        <v>0</v>
      </c>
      <c r="P492" s="73">
        <v>43</v>
      </c>
      <c r="Q492" s="73">
        <v>0</v>
      </c>
      <c r="R492" s="23">
        <f t="shared" si="8"/>
        <v>43</v>
      </c>
      <c r="S492" s="70">
        <v>20</v>
      </c>
      <c r="T492" s="67" t="s">
        <v>2019</v>
      </c>
    </row>
    <row r="493" spans="1:20" ht="23.25" customHeight="1" x14ac:dyDescent="0.25">
      <c r="A493" s="21" t="s">
        <v>2020</v>
      </c>
      <c r="B493" s="24">
        <v>2024</v>
      </c>
      <c r="C493" s="91" t="s">
        <v>21</v>
      </c>
      <c r="D493" s="64" t="s">
        <v>2021</v>
      </c>
      <c r="E493" s="58" t="s">
        <v>2022</v>
      </c>
      <c r="F493" s="74" t="s">
        <v>23</v>
      </c>
      <c r="G493" s="45" t="s">
        <v>364</v>
      </c>
      <c r="H493" s="59" t="s">
        <v>2023</v>
      </c>
      <c r="I493" s="60">
        <v>45569</v>
      </c>
      <c r="J493" s="60">
        <v>45572</v>
      </c>
      <c r="K493" s="64" t="s">
        <v>35</v>
      </c>
      <c r="L493" s="61">
        <v>0</v>
      </c>
      <c r="M493" s="88">
        <v>5</v>
      </c>
      <c r="N493" s="62">
        <v>10</v>
      </c>
      <c r="O493" s="63">
        <v>8</v>
      </c>
      <c r="P493" s="63">
        <v>0</v>
      </c>
      <c r="Q493" s="63">
        <v>0</v>
      </c>
      <c r="R493" s="25">
        <f t="shared" si="8"/>
        <v>8</v>
      </c>
      <c r="S493" s="64">
        <v>8</v>
      </c>
      <c r="T493" s="45" t="s">
        <v>472</v>
      </c>
    </row>
    <row r="494" spans="1:20" ht="23.25" customHeight="1" x14ac:dyDescent="0.25">
      <c r="A494" s="20" t="s">
        <v>2024</v>
      </c>
      <c r="B494" s="22">
        <v>2024</v>
      </c>
      <c r="C494" s="91" t="s">
        <v>21</v>
      </c>
      <c r="D494" s="70" t="s">
        <v>2025</v>
      </c>
      <c r="E494" s="65" t="s">
        <v>2026</v>
      </c>
      <c r="F494" s="66" t="s">
        <v>23</v>
      </c>
      <c r="G494" s="67" t="s">
        <v>199</v>
      </c>
      <c r="H494" s="68" t="s">
        <v>2027</v>
      </c>
      <c r="I494" s="69">
        <v>45569</v>
      </c>
      <c r="J494" s="69">
        <v>45569</v>
      </c>
      <c r="K494" s="70" t="s">
        <v>26</v>
      </c>
      <c r="L494" s="71">
        <v>2500</v>
      </c>
      <c r="M494" s="89"/>
      <c r="N494" s="72">
        <v>80</v>
      </c>
      <c r="O494" s="73">
        <v>80</v>
      </c>
      <c r="P494" s="73">
        <v>0</v>
      </c>
      <c r="Q494" s="73">
        <v>0</v>
      </c>
      <c r="R494" s="23">
        <f t="shared" si="8"/>
        <v>80</v>
      </c>
      <c r="S494" s="70">
        <v>2</v>
      </c>
      <c r="T494" s="67" t="s">
        <v>2028</v>
      </c>
    </row>
    <row r="495" spans="1:20" ht="23.25" customHeight="1" x14ac:dyDescent="0.25">
      <c r="A495" s="21" t="s">
        <v>2029</v>
      </c>
      <c r="B495" s="24">
        <v>2024</v>
      </c>
      <c r="C495" s="91" t="s">
        <v>21</v>
      </c>
      <c r="D495" s="64" t="s">
        <v>2030</v>
      </c>
      <c r="E495" s="58" t="s">
        <v>2031</v>
      </c>
      <c r="F495" s="74" t="s">
        <v>23</v>
      </c>
      <c r="G495" s="45" t="s">
        <v>199</v>
      </c>
      <c r="H495" s="59" t="s">
        <v>2032</v>
      </c>
      <c r="I495" s="60">
        <v>45572</v>
      </c>
      <c r="J495" s="60">
        <v>45590</v>
      </c>
      <c r="K495" s="24" t="s">
        <v>26</v>
      </c>
      <c r="L495" s="26"/>
      <c r="M495" s="88"/>
      <c r="N495" s="62"/>
      <c r="O495" s="63"/>
      <c r="P495" s="63">
        <v>0</v>
      </c>
      <c r="Q495" s="63">
        <v>0</v>
      </c>
      <c r="R495" s="25">
        <f t="shared" si="8"/>
        <v>0</v>
      </c>
      <c r="S495" s="24"/>
      <c r="T495" s="265"/>
    </row>
    <row r="496" spans="1:20" ht="23.25" customHeight="1" x14ac:dyDescent="0.25">
      <c r="A496" s="20" t="s">
        <v>2033</v>
      </c>
      <c r="B496" s="22">
        <v>2024</v>
      </c>
      <c r="C496" s="91" t="s">
        <v>21</v>
      </c>
      <c r="D496" s="70" t="s">
        <v>2034</v>
      </c>
      <c r="E496" s="65" t="s">
        <v>2035</v>
      </c>
      <c r="F496" s="66" t="s">
        <v>23</v>
      </c>
      <c r="G496" s="67" t="s">
        <v>199</v>
      </c>
      <c r="H496" s="68" t="s">
        <v>2036</v>
      </c>
      <c r="I496" s="69">
        <v>45572</v>
      </c>
      <c r="J496" s="69">
        <v>45572</v>
      </c>
      <c r="K496" s="70" t="s">
        <v>26</v>
      </c>
      <c r="L496" s="71">
        <v>40000</v>
      </c>
      <c r="M496" s="89"/>
      <c r="N496" s="72">
        <v>170</v>
      </c>
      <c r="O496" s="73">
        <v>170</v>
      </c>
      <c r="P496" s="73">
        <v>0</v>
      </c>
      <c r="Q496" s="73">
        <v>0</v>
      </c>
      <c r="R496" s="23">
        <f t="shared" si="8"/>
        <v>170</v>
      </c>
      <c r="S496" s="70">
        <v>1</v>
      </c>
      <c r="T496" s="67" t="s">
        <v>2037</v>
      </c>
    </row>
    <row r="497" spans="1:20" ht="23.25" customHeight="1" x14ac:dyDescent="0.25">
      <c r="A497" s="21" t="s">
        <v>2038</v>
      </c>
      <c r="B497" s="24">
        <v>2024</v>
      </c>
      <c r="C497" s="90" t="s">
        <v>21</v>
      </c>
      <c r="D497" s="64" t="s">
        <v>1923</v>
      </c>
      <c r="E497" s="58" t="s">
        <v>2039</v>
      </c>
      <c r="F497" s="74" t="s">
        <v>62</v>
      </c>
      <c r="G497" s="45" t="s">
        <v>72</v>
      </c>
      <c r="H497" s="59" t="s">
        <v>2040</v>
      </c>
      <c r="I497" s="60">
        <v>45573</v>
      </c>
      <c r="J497" s="60">
        <v>45575</v>
      </c>
      <c r="K497" s="64" t="s">
        <v>35</v>
      </c>
      <c r="L497" s="61">
        <v>2614.2199999999998</v>
      </c>
      <c r="M497" s="88">
        <v>4.8</v>
      </c>
      <c r="N497" s="62">
        <v>20</v>
      </c>
      <c r="O497" s="63">
        <v>9</v>
      </c>
      <c r="P497" s="63">
        <v>22</v>
      </c>
      <c r="Q497" s="63">
        <v>0</v>
      </c>
      <c r="R497" s="25">
        <f t="shared" si="8"/>
        <v>31</v>
      </c>
      <c r="S497" s="64">
        <v>4</v>
      </c>
      <c r="T497" s="45" t="s">
        <v>1926</v>
      </c>
    </row>
    <row r="498" spans="1:20" ht="23.25" customHeight="1" x14ac:dyDescent="0.25">
      <c r="A498" s="20" t="s">
        <v>2041</v>
      </c>
      <c r="B498" s="22">
        <v>2024</v>
      </c>
      <c r="C498" s="90" t="s">
        <v>21</v>
      </c>
      <c r="D498" s="70" t="s">
        <v>1782</v>
      </c>
      <c r="E498" s="65" t="s">
        <v>2042</v>
      </c>
      <c r="F498" s="66" t="s">
        <v>23</v>
      </c>
      <c r="G498" s="67" t="s">
        <v>38</v>
      </c>
      <c r="H498" s="68" t="s">
        <v>2043</v>
      </c>
      <c r="I498" s="69">
        <v>45573</v>
      </c>
      <c r="J498" s="69">
        <v>45576</v>
      </c>
      <c r="K498" s="70" t="s">
        <v>35</v>
      </c>
      <c r="L498" s="71">
        <v>12221.66</v>
      </c>
      <c r="M498" s="89">
        <v>5</v>
      </c>
      <c r="N498" s="72">
        <v>20</v>
      </c>
      <c r="O498" s="73">
        <v>11</v>
      </c>
      <c r="P498" s="73">
        <v>0</v>
      </c>
      <c r="Q498" s="73">
        <v>0</v>
      </c>
      <c r="R498" s="23">
        <f t="shared" si="8"/>
        <v>11</v>
      </c>
      <c r="S498" s="70">
        <v>16</v>
      </c>
      <c r="T498" s="67" t="s">
        <v>1785</v>
      </c>
    </row>
    <row r="499" spans="1:20" ht="23.25" customHeight="1" x14ac:dyDescent="0.25">
      <c r="A499" s="21" t="s">
        <v>2044</v>
      </c>
      <c r="B499" s="24">
        <v>2024</v>
      </c>
      <c r="C499" s="90" t="s">
        <v>21</v>
      </c>
      <c r="D499" s="64" t="s">
        <v>2045</v>
      </c>
      <c r="E499" s="58" t="s">
        <v>2046</v>
      </c>
      <c r="F499" s="74" t="s">
        <v>81</v>
      </c>
      <c r="G499" s="45" t="s">
        <v>72</v>
      </c>
      <c r="H499" s="59" t="s">
        <v>2047</v>
      </c>
      <c r="I499" s="60">
        <v>45573</v>
      </c>
      <c r="J499" s="60">
        <v>45573</v>
      </c>
      <c r="K499" s="64" t="s">
        <v>35</v>
      </c>
      <c r="L499" s="61">
        <v>0</v>
      </c>
      <c r="M499" s="88">
        <v>5</v>
      </c>
      <c r="N499" s="62">
        <v>40</v>
      </c>
      <c r="O499" s="63">
        <v>0</v>
      </c>
      <c r="P499" s="63">
        <v>0</v>
      </c>
      <c r="Q499" s="63">
        <v>45</v>
      </c>
      <c r="R499" s="25">
        <f t="shared" si="8"/>
        <v>45</v>
      </c>
      <c r="S499" s="64">
        <v>1</v>
      </c>
      <c r="T499" s="45" t="s">
        <v>2048</v>
      </c>
    </row>
    <row r="500" spans="1:20" ht="23.25" customHeight="1" x14ac:dyDescent="0.25">
      <c r="A500" s="20" t="s">
        <v>2049</v>
      </c>
      <c r="B500" s="22">
        <v>2024</v>
      </c>
      <c r="C500" s="90" t="s">
        <v>21</v>
      </c>
      <c r="D500" s="70" t="s">
        <v>2050</v>
      </c>
      <c r="E500" s="65" t="s">
        <v>2051</v>
      </c>
      <c r="F500" s="66" t="s">
        <v>23</v>
      </c>
      <c r="G500" s="67" t="s">
        <v>199</v>
      </c>
      <c r="H500" s="68" t="s">
        <v>2052</v>
      </c>
      <c r="I500" s="69">
        <v>45575</v>
      </c>
      <c r="J500" s="69">
        <v>45579</v>
      </c>
      <c r="K500" s="70" t="s">
        <v>26</v>
      </c>
      <c r="L500" s="71">
        <v>6600</v>
      </c>
      <c r="M500" s="89"/>
      <c r="N500" s="72">
        <v>40</v>
      </c>
      <c r="O500" s="73">
        <v>40</v>
      </c>
      <c r="P500" s="73">
        <v>0</v>
      </c>
      <c r="Q500" s="73">
        <v>0</v>
      </c>
      <c r="R500" s="23">
        <f t="shared" si="8"/>
        <v>40</v>
      </c>
      <c r="S500" s="70">
        <v>4</v>
      </c>
      <c r="T500" s="67" t="s">
        <v>2053</v>
      </c>
    </row>
    <row r="501" spans="1:20" ht="23.25" customHeight="1" x14ac:dyDescent="0.25">
      <c r="A501" s="21" t="s">
        <v>2054</v>
      </c>
      <c r="B501" s="24">
        <v>2024</v>
      </c>
      <c r="C501" s="90" t="s">
        <v>21</v>
      </c>
      <c r="D501" s="64" t="s">
        <v>1777</v>
      </c>
      <c r="E501" s="58" t="s">
        <v>2055</v>
      </c>
      <c r="F501" s="74" t="s">
        <v>23</v>
      </c>
      <c r="G501" s="45" t="s">
        <v>457</v>
      </c>
      <c r="H501" s="59" t="s">
        <v>2056</v>
      </c>
      <c r="I501" s="60">
        <v>45576</v>
      </c>
      <c r="J501" s="60">
        <v>45576</v>
      </c>
      <c r="K501" s="64" t="s">
        <v>26</v>
      </c>
      <c r="L501" s="61">
        <f>49600/8</f>
        <v>6200</v>
      </c>
      <c r="M501" s="88">
        <v>5</v>
      </c>
      <c r="N501" s="63">
        <v>5</v>
      </c>
      <c r="O501" s="63">
        <v>0</v>
      </c>
      <c r="P501" s="63">
        <v>0</v>
      </c>
      <c r="Q501" s="63">
        <v>0</v>
      </c>
      <c r="R501" s="25">
        <f t="shared" si="8"/>
        <v>0</v>
      </c>
      <c r="S501" s="64">
        <v>4</v>
      </c>
      <c r="T501" s="45" t="s">
        <v>1780</v>
      </c>
    </row>
    <row r="502" spans="1:20" ht="23.25" customHeight="1" x14ac:dyDescent="0.25">
      <c r="A502" s="20" t="s">
        <v>2057</v>
      </c>
      <c r="B502" s="22">
        <v>2024</v>
      </c>
      <c r="C502" s="90" t="s">
        <v>21</v>
      </c>
      <c r="D502" s="70" t="s">
        <v>2058</v>
      </c>
      <c r="E502" s="65" t="s">
        <v>2059</v>
      </c>
      <c r="F502" s="66" t="s">
        <v>62</v>
      </c>
      <c r="G502" s="67" t="s">
        <v>72</v>
      </c>
      <c r="H502" s="68" t="s">
        <v>2060</v>
      </c>
      <c r="I502" s="69">
        <v>45579</v>
      </c>
      <c r="J502" s="69">
        <v>45582</v>
      </c>
      <c r="K502" s="70" t="s">
        <v>26</v>
      </c>
      <c r="L502" s="71">
        <v>10400</v>
      </c>
      <c r="M502" s="89">
        <v>4.7</v>
      </c>
      <c r="N502" s="72">
        <v>40</v>
      </c>
      <c r="O502" s="73">
        <v>0</v>
      </c>
      <c r="P502" s="73">
        <v>34</v>
      </c>
      <c r="Q502" s="73">
        <v>0</v>
      </c>
      <c r="R502" s="23">
        <f t="shared" si="8"/>
        <v>34</v>
      </c>
      <c r="S502" s="70">
        <v>16</v>
      </c>
      <c r="T502" s="67" t="s">
        <v>2061</v>
      </c>
    </row>
    <row r="503" spans="1:20" ht="23.25" customHeight="1" x14ac:dyDescent="0.25">
      <c r="A503" s="21" t="s">
        <v>2062</v>
      </c>
      <c r="B503" s="24">
        <v>2024</v>
      </c>
      <c r="C503" s="90" t="s">
        <v>21</v>
      </c>
      <c r="D503" s="261" t="s">
        <v>2063</v>
      </c>
      <c r="E503" s="58" t="s">
        <v>2064</v>
      </c>
      <c r="F503" s="74" t="s">
        <v>62</v>
      </c>
      <c r="G503" s="45" t="s">
        <v>72</v>
      </c>
      <c r="H503" s="59" t="s">
        <v>2065</v>
      </c>
      <c r="I503" s="60">
        <v>45579</v>
      </c>
      <c r="J503" s="60">
        <v>45583</v>
      </c>
      <c r="K503" s="64" t="s">
        <v>35</v>
      </c>
      <c r="L503" s="61">
        <v>9067.76</v>
      </c>
      <c r="M503" s="88">
        <v>4.7</v>
      </c>
      <c r="N503" s="62">
        <v>30</v>
      </c>
      <c r="O503" s="63">
        <v>0</v>
      </c>
      <c r="P503" s="63">
        <v>21</v>
      </c>
      <c r="Q503" s="63">
        <v>0</v>
      </c>
      <c r="R503" s="25">
        <f t="shared" si="8"/>
        <v>21</v>
      </c>
      <c r="S503" s="64">
        <v>16</v>
      </c>
      <c r="T503" s="45" t="s">
        <v>1716</v>
      </c>
    </row>
    <row r="504" spans="1:20" ht="23.25" customHeight="1" x14ac:dyDescent="0.25">
      <c r="A504" s="20" t="s">
        <v>2066</v>
      </c>
      <c r="B504" s="22">
        <v>2024</v>
      </c>
      <c r="C504" s="90" t="s">
        <v>21</v>
      </c>
      <c r="D504" s="70" t="s">
        <v>2067</v>
      </c>
      <c r="E504" s="65" t="s">
        <v>2068</v>
      </c>
      <c r="F504" s="66" t="s">
        <v>23</v>
      </c>
      <c r="G504" s="67" t="s">
        <v>33</v>
      </c>
      <c r="H504" s="68" t="s">
        <v>2069</v>
      </c>
      <c r="I504" s="69">
        <v>45579</v>
      </c>
      <c r="J504" s="69">
        <v>45595</v>
      </c>
      <c r="K504" s="70" t="s">
        <v>35</v>
      </c>
      <c r="L504" s="71">
        <v>20061.22</v>
      </c>
      <c r="M504" s="89">
        <v>5</v>
      </c>
      <c r="N504" s="72">
        <v>20</v>
      </c>
      <c r="O504" s="73">
        <v>16</v>
      </c>
      <c r="P504" s="73">
        <v>0</v>
      </c>
      <c r="Q504" s="73">
        <v>0</v>
      </c>
      <c r="R504" s="23">
        <f t="shared" si="8"/>
        <v>16</v>
      </c>
      <c r="S504" s="70">
        <v>24</v>
      </c>
      <c r="T504" s="67" t="s">
        <v>1831</v>
      </c>
    </row>
    <row r="505" spans="1:20" ht="23.25" customHeight="1" x14ac:dyDescent="0.25">
      <c r="A505" s="21" t="s">
        <v>2070</v>
      </c>
      <c r="B505" s="24">
        <v>2024</v>
      </c>
      <c r="C505" s="90" t="s">
        <v>21</v>
      </c>
      <c r="D505" s="24" t="s">
        <v>2071</v>
      </c>
      <c r="E505" s="58" t="s">
        <v>2072</v>
      </c>
      <c r="F505" s="74" t="s">
        <v>23</v>
      </c>
      <c r="G505" s="45" t="s">
        <v>199</v>
      </c>
      <c r="H505" s="38" t="s">
        <v>2073</v>
      </c>
      <c r="I505" s="39">
        <v>45582</v>
      </c>
      <c r="J505" s="39">
        <v>45582</v>
      </c>
      <c r="K505" s="64" t="s">
        <v>26</v>
      </c>
      <c r="L505" s="26">
        <v>6500</v>
      </c>
      <c r="M505" s="87"/>
      <c r="N505" s="40">
        <v>20</v>
      </c>
      <c r="O505" s="25">
        <v>20</v>
      </c>
      <c r="P505" s="25">
        <v>0</v>
      </c>
      <c r="Q505" s="25">
        <v>0</v>
      </c>
      <c r="R505" s="25">
        <f t="shared" si="8"/>
        <v>20</v>
      </c>
      <c r="S505" s="24">
        <v>4</v>
      </c>
      <c r="T505" s="21" t="s">
        <v>2074</v>
      </c>
    </row>
    <row r="506" spans="1:20" ht="23.25" customHeight="1" x14ac:dyDescent="0.25">
      <c r="A506" s="20" t="s">
        <v>2075</v>
      </c>
      <c r="B506" s="22">
        <v>2024</v>
      </c>
      <c r="C506" s="90" t="s">
        <v>21</v>
      </c>
      <c r="D506" s="22" t="s">
        <v>1777</v>
      </c>
      <c r="E506" s="27" t="s">
        <v>2076</v>
      </c>
      <c r="F506" s="29" t="s">
        <v>23</v>
      </c>
      <c r="G506" s="20" t="s">
        <v>457</v>
      </c>
      <c r="H506" s="36" t="s">
        <v>2077</v>
      </c>
      <c r="I506" s="37">
        <v>45583</v>
      </c>
      <c r="J506" s="37">
        <v>45583</v>
      </c>
      <c r="K506" s="22" t="s">
        <v>26</v>
      </c>
      <c r="L506" s="28">
        <f>49600/8</f>
        <v>6200</v>
      </c>
      <c r="M506" s="86">
        <v>5</v>
      </c>
      <c r="N506" s="23">
        <v>8</v>
      </c>
      <c r="O506" s="23">
        <v>8</v>
      </c>
      <c r="P506" s="23">
        <v>0</v>
      </c>
      <c r="Q506" s="23">
        <v>0</v>
      </c>
      <c r="R506" s="23">
        <f t="shared" si="8"/>
        <v>8</v>
      </c>
      <c r="S506" s="22">
        <v>4</v>
      </c>
      <c r="T506" s="20" t="s">
        <v>1780</v>
      </c>
    </row>
    <row r="507" spans="1:20" ht="23.25" customHeight="1" x14ac:dyDescent="0.25">
      <c r="A507" s="21" t="s">
        <v>2078</v>
      </c>
      <c r="B507" s="24">
        <v>2024</v>
      </c>
      <c r="C507" s="90" t="s">
        <v>21</v>
      </c>
      <c r="D507" s="24" t="s">
        <v>2079</v>
      </c>
      <c r="E507" s="30" t="s">
        <v>2080</v>
      </c>
      <c r="F507" s="74" t="s">
        <v>23</v>
      </c>
      <c r="G507" s="45" t="s">
        <v>38</v>
      </c>
      <c r="H507" s="38" t="s">
        <v>2081</v>
      </c>
      <c r="I507" s="39">
        <v>45586</v>
      </c>
      <c r="J507" s="39">
        <v>45586</v>
      </c>
      <c r="K507" s="24" t="s">
        <v>35</v>
      </c>
      <c r="L507" s="26">
        <v>6539.2</v>
      </c>
      <c r="M507" s="87">
        <v>5</v>
      </c>
      <c r="N507" s="40">
        <v>0</v>
      </c>
      <c r="O507" s="25">
        <v>0</v>
      </c>
      <c r="P507" s="25">
        <v>0</v>
      </c>
      <c r="Q507" s="25">
        <v>0</v>
      </c>
      <c r="R507" s="25">
        <f t="shared" si="8"/>
        <v>0</v>
      </c>
      <c r="S507" s="24">
        <v>20</v>
      </c>
      <c r="T507" s="21" t="s">
        <v>2082</v>
      </c>
    </row>
    <row r="508" spans="1:20" ht="23.25" customHeight="1" x14ac:dyDescent="0.25">
      <c r="A508" s="20" t="s">
        <v>2083</v>
      </c>
      <c r="B508" s="22">
        <v>2024</v>
      </c>
      <c r="C508" s="90" t="s">
        <v>21</v>
      </c>
      <c r="D508" s="22" t="s">
        <v>2084</v>
      </c>
      <c r="E508" s="27" t="s">
        <v>2085</v>
      </c>
      <c r="F508" s="29" t="s">
        <v>23</v>
      </c>
      <c r="G508" s="20" t="s">
        <v>457</v>
      </c>
      <c r="H508" s="36" t="s">
        <v>2081</v>
      </c>
      <c r="I508" s="37">
        <v>45586</v>
      </c>
      <c r="J508" s="37">
        <v>45586</v>
      </c>
      <c r="K508" s="22" t="s">
        <v>26</v>
      </c>
      <c r="L508" s="28">
        <v>44100</v>
      </c>
      <c r="M508" s="86">
        <v>5</v>
      </c>
      <c r="N508" s="41">
        <v>13</v>
      </c>
      <c r="O508" s="23">
        <v>13</v>
      </c>
      <c r="P508" s="23">
        <v>0</v>
      </c>
      <c r="Q508" s="23">
        <v>0</v>
      </c>
      <c r="R508" s="23">
        <f t="shared" si="8"/>
        <v>13</v>
      </c>
      <c r="S508" s="22">
        <v>48</v>
      </c>
      <c r="T508" s="20" t="s">
        <v>966</v>
      </c>
    </row>
    <row r="509" spans="1:20" ht="23.25" customHeight="1" x14ac:dyDescent="0.25">
      <c r="A509" s="21" t="s">
        <v>2086</v>
      </c>
      <c r="B509" s="24">
        <v>2024</v>
      </c>
      <c r="C509" s="90" t="s">
        <v>21</v>
      </c>
      <c r="D509" s="24" t="s">
        <v>2087</v>
      </c>
      <c r="E509" s="75" t="s">
        <v>2088</v>
      </c>
      <c r="F509" s="31" t="s">
        <v>23</v>
      </c>
      <c r="G509" s="21" t="s">
        <v>199</v>
      </c>
      <c r="H509" s="38" t="s">
        <v>2081</v>
      </c>
      <c r="I509" s="39">
        <v>45586</v>
      </c>
      <c r="J509" s="39">
        <v>45586</v>
      </c>
      <c r="K509" s="24" t="s">
        <v>26</v>
      </c>
      <c r="L509" s="26">
        <v>36000</v>
      </c>
      <c r="M509" s="87"/>
      <c r="N509" s="40">
        <v>170</v>
      </c>
      <c r="O509" s="25">
        <v>170</v>
      </c>
      <c r="P509" s="25">
        <v>0</v>
      </c>
      <c r="Q509" s="25">
        <v>0</v>
      </c>
      <c r="R509" s="25">
        <f t="shared" si="8"/>
        <v>170</v>
      </c>
      <c r="S509" s="24">
        <v>1</v>
      </c>
      <c r="T509" s="21" t="s">
        <v>2089</v>
      </c>
    </row>
    <row r="510" spans="1:20" ht="23.25" customHeight="1" x14ac:dyDescent="0.25">
      <c r="A510" s="20" t="s">
        <v>2090</v>
      </c>
      <c r="B510" s="22">
        <v>2024</v>
      </c>
      <c r="C510" s="90" t="s">
        <v>21</v>
      </c>
      <c r="D510" s="22" t="s">
        <v>1971</v>
      </c>
      <c r="E510" s="27" t="s">
        <v>2091</v>
      </c>
      <c r="F510" s="29" t="s">
        <v>81</v>
      </c>
      <c r="G510" s="20" t="s">
        <v>72</v>
      </c>
      <c r="H510" s="36" t="s">
        <v>2092</v>
      </c>
      <c r="I510" s="37">
        <v>45586</v>
      </c>
      <c r="J510" s="37">
        <v>45590</v>
      </c>
      <c r="K510" s="22" t="s">
        <v>35</v>
      </c>
      <c r="L510" s="28">
        <f>9154.9+1027</f>
        <v>10181.9</v>
      </c>
      <c r="M510" s="86">
        <v>4.9000000000000004</v>
      </c>
      <c r="N510" s="41">
        <v>60</v>
      </c>
      <c r="O510" s="23">
        <v>0</v>
      </c>
      <c r="P510" s="23">
        <v>0</v>
      </c>
      <c r="Q510" s="23">
        <v>66</v>
      </c>
      <c r="R510" s="23">
        <f t="shared" si="8"/>
        <v>66</v>
      </c>
      <c r="S510" s="22">
        <v>20</v>
      </c>
      <c r="T510" s="20" t="s">
        <v>1974</v>
      </c>
    </row>
    <row r="511" spans="1:20" ht="23.25" customHeight="1" x14ac:dyDescent="0.25">
      <c r="A511" s="21" t="s">
        <v>2093</v>
      </c>
      <c r="B511" s="24">
        <v>2024</v>
      </c>
      <c r="C511" s="90" t="s">
        <v>21</v>
      </c>
      <c r="D511" s="24" t="s">
        <v>2094</v>
      </c>
      <c r="E511" s="75" t="s">
        <v>2095</v>
      </c>
      <c r="F511" s="31" t="s">
        <v>23</v>
      </c>
      <c r="G511" s="21" t="s">
        <v>199</v>
      </c>
      <c r="H511" s="38" t="s">
        <v>2096</v>
      </c>
      <c r="I511" s="39">
        <v>45587</v>
      </c>
      <c r="J511" s="39">
        <v>45587</v>
      </c>
      <c r="K511" s="24" t="s">
        <v>26</v>
      </c>
      <c r="L511" s="26">
        <v>1700</v>
      </c>
      <c r="M511" s="87"/>
      <c r="N511" s="40">
        <v>140</v>
      </c>
      <c r="O511" s="25">
        <v>140</v>
      </c>
      <c r="P511" s="25">
        <v>0</v>
      </c>
      <c r="Q511" s="25">
        <v>0</v>
      </c>
      <c r="R511" s="25">
        <f t="shared" si="8"/>
        <v>140</v>
      </c>
      <c r="S511" s="24">
        <v>1</v>
      </c>
      <c r="T511" s="21" t="s">
        <v>2097</v>
      </c>
    </row>
    <row r="512" spans="1:20" ht="23.25" customHeight="1" x14ac:dyDescent="0.25">
      <c r="A512" s="20" t="s">
        <v>2098</v>
      </c>
      <c r="B512" s="22">
        <v>2024</v>
      </c>
      <c r="C512" s="90" t="s">
        <v>21</v>
      </c>
      <c r="D512" s="22" t="s">
        <v>2099</v>
      </c>
      <c r="E512" s="27" t="s">
        <v>2100</v>
      </c>
      <c r="F512" s="66" t="s">
        <v>62</v>
      </c>
      <c r="G512" s="20" t="s">
        <v>72</v>
      </c>
      <c r="H512" s="36" t="s">
        <v>2101</v>
      </c>
      <c r="I512" s="37">
        <v>45594</v>
      </c>
      <c r="J512" s="37">
        <v>45596</v>
      </c>
      <c r="K512" s="22" t="s">
        <v>35</v>
      </c>
      <c r="L512" s="28">
        <v>6800.82</v>
      </c>
      <c r="M512" s="86">
        <v>4.7</v>
      </c>
      <c r="N512" s="41">
        <v>40</v>
      </c>
      <c r="O512" s="23">
        <v>0</v>
      </c>
      <c r="P512" s="23">
        <v>45</v>
      </c>
      <c r="Q512" s="23">
        <v>0</v>
      </c>
      <c r="R512" s="23">
        <f t="shared" si="8"/>
        <v>45</v>
      </c>
      <c r="S512" s="22">
        <v>12</v>
      </c>
      <c r="T512" s="20" t="s">
        <v>2102</v>
      </c>
    </row>
    <row r="513" spans="1:20" ht="23.25" customHeight="1" x14ac:dyDescent="0.25">
      <c r="A513" s="21" t="s">
        <v>2103</v>
      </c>
      <c r="B513" s="24">
        <v>2024</v>
      </c>
      <c r="C513" s="90" t="s">
        <v>21</v>
      </c>
      <c r="D513" s="24" t="s">
        <v>2104</v>
      </c>
      <c r="E513" s="30" t="s">
        <v>2105</v>
      </c>
      <c r="F513" s="74" t="s">
        <v>23</v>
      </c>
      <c r="G513" s="45" t="s">
        <v>38</v>
      </c>
      <c r="H513" s="38" t="s">
        <v>2106</v>
      </c>
      <c r="I513" s="39">
        <v>45594</v>
      </c>
      <c r="J513" s="39">
        <v>45596</v>
      </c>
      <c r="K513" s="24" t="s">
        <v>35</v>
      </c>
      <c r="L513" s="26">
        <v>3138.82</v>
      </c>
      <c r="M513" s="87">
        <v>5</v>
      </c>
      <c r="N513" s="40">
        <v>20</v>
      </c>
      <c r="O513" s="25">
        <v>19</v>
      </c>
      <c r="P513" s="25">
        <v>0</v>
      </c>
      <c r="Q513" s="25">
        <v>0</v>
      </c>
      <c r="R513" s="25">
        <f t="shared" si="8"/>
        <v>19</v>
      </c>
      <c r="S513" s="24">
        <v>4</v>
      </c>
      <c r="T513" s="21" t="s">
        <v>2107</v>
      </c>
    </row>
    <row r="514" spans="1:20" ht="23.25" customHeight="1" x14ac:dyDescent="0.25">
      <c r="A514" s="20" t="s">
        <v>2108</v>
      </c>
      <c r="B514" s="22">
        <v>2024</v>
      </c>
      <c r="C514" s="90" t="s">
        <v>21</v>
      </c>
      <c r="D514" s="22" t="s">
        <v>1999</v>
      </c>
      <c r="E514" s="27" t="s">
        <v>2109</v>
      </c>
      <c r="F514" s="66" t="s">
        <v>23</v>
      </c>
      <c r="G514" s="67" t="s">
        <v>33</v>
      </c>
      <c r="H514" s="36" t="s">
        <v>2110</v>
      </c>
      <c r="I514" s="37">
        <v>45600</v>
      </c>
      <c r="J514" s="37">
        <v>45604</v>
      </c>
      <c r="K514" s="22" t="s">
        <v>35</v>
      </c>
      <c r="L514" s="28">
        <v>12813.06</v>
      </c>
      <c r="M514" s="86">
        <v>4.7</v>
      </c>
      <c r="N514" s="41">
        <v>20</v>
      </c>
      <c r="O514" s="23">
        <v>15</v>
      </c>
      <c r="P514" s="23">
        <v>0</v>
      </c>
      <c r="Q514" s="23">
        <v>0</v>
      </c>
      <c r="R514" s="23">
        <f t="shared" si="8"/>
        <v>15</v>
      </c>
      <c r="S514" s="22">
        <v>20</v>
      </c>
      <c r="T514" s="20" t="s">
        <v>211</v>
      </c>
    </row>
    <row r="515" spans="1:20" ht="23.25" customHeight="1" x14ac:dyDescent="0.25">
      <c r="A515" s="21" t="s">
        <v>2111</v>
      </c>
      <c r="B515" s="24">
        <v>2024</v>
      </c>
      <c r="C515" s="90" t="s">
        <v>21</v>
      </c>
      <c r="D515" s="24" t="s">
        <v>2112</v>
      </c>
      <c r="E515" s="30" t="s">
        <v>2113</v>
      </c>
      <c r="F515" s="74" t="s">
        <v>81</v>
      </c>
      <c r="G515" s="45" t="s">
        <v>72</v>
      </c>
      <c r="H515" s="38" t="s">
        <v>2114</v>
      </c>
      <c r="I515" s="39">
        <v>45600</v>
      </c>
      <c r="J515" s="39">
        <v>45608</v>
      </c>
      <c r="K515" s="24" t="s">
        <v>26</v>
      </c>
      <c r="L515" s="26">
        <v>10500</v>
      </c>
      <c r="M515" s="87">
        <v>4.8</v>
      </c>
      <c r="N515" s="40">
        <v>40</v>
      </c>
      <c r="O515" s="25">
        <v>0</v>
      </c>
      <c r="P515" s="25">
        <v>0</v>
      </c>
      <c r="Q515" s="25">
        <v>41</v>
      </c>
      <c r="R515" s="25">
        <f t="shared" si="8"/>
        <v>41</v>
      </c>
      <c r="S515" s="24">
        <v>16</v>
      </c>
      <c r="T515" s="21" t="s">
        <v>2115</v>
      </c>
    </row>
    <row r="516" spans="1:20" ht="23.25" customHeight="1" x14ac:dyDescent="0.25">
      <c r="A516" s="20" t="s">
        <v>2116</v>
      </c>
      <c r="B516" s="22">
        <v>2024</v>
      </c>
      <c r="C516" s="90" t="s">
        <v>21</v>
      </c>
      <c r="D516" s="22" t="s">
        <v>2117</v>
      </c>
      <c r="E516" s="27" t="s">
        <v>2118</v>
      </c>
      <c r="F516" s="66" t="s">
        <v>23</v>
      </c>
      <c r="G516" s="67" t="s">
        <v>38</v>
      </c>
      <c r="H516" s="36" t="s">
        <v>2119</v>
      </c>
      <c r="I516" s="37">
        <v>45603</v>
      </c>
      <c r="J516" s="37">
        <v>45603</v>
      </c>
      <c r="K516" s="22" t="s">
        <v>35</v>
      </c>
      <c r="L516" s="28">
        <v>0</v>
      </c>
      <c r="M516" s="86">
        <v>4.8</v>
      </c>
      <c r="N516" s="41">
        <v>170</v>
      </c>
      <c r="O516" s="23">
        <v>96</v>
      </c>
      <c r="P516" s="23">
        <v>0</v>
      </c>
      <c r="Q516" s="23">
        <v>0</v>
      </c>
      <c r="R516" s="23">
        <f t="shared" si="8"/>
        <v>96</v>
      </c>
      <c r="S516" s="22">
        <v>2</v>
      </c>
      <c r="T516" s="20" t="s">
        <v>472</v>
      </c>
    </row>
    <row r="517" spans="1:20" ht="23.25" customHeight="1" x14ac:dyDescent="0.25">
      <c r="A517" s="21" t="s">
        <v>2120</v>
      </c>
      <c r="B517" s="24">
        <v>2024</v>
      </c>
      <c r="C517" s="90" t="s">
        <v>21</v>
      </c>
      <c r="D517" s="24" t="s">
        <v>1777</v>
      </c>
      <c r="E517" s="30" t="s">
        <v>2121</v>
      </c>
      <c r="F517" s="74" t="s">
        <v>23</v>
      </c>
      <c r="G517" s="45" t="s">
        <v>457</v>
      </c>
      <c r="H517" s="38" t="s">
        <v>2122</v>
      </c>
      <c r="I517" s="39">
        <v>45604</v>
      </c>
      <c r="J517" s="39">
        <v>45604</v>
      </c>
      <c r="K517" s="24" t="s">
        <v>26</v>
      </c>
      <c r="L517" s="26">
        <f>49600/8</f>
        <v>6200</v>
      </c>
      <c r="M517" s="87">
        <v>5</v>
      </c>
      <c r="N517" s="25">
        <v>20</v>
      </c>
      <c r="O517" s="25">
        <v>6</v>
      </c>
      <c r="P517" s="25">
        <v>0</v>
      </c>
      <c r="Q517" s="25">
        <v>0</v>
      </c>
      <c r="R517" s="25">
        <f t="shared" si="8"/>
        <v>6</v>
      </c>
      <c r="S517" s="24">
        <v>4</v>
      </c>
      <c r="T517" s="21" t="s">
        <v>2123</v>
      </c>
    </row>
    <row r="518" spans="1:20" ht="23.25" customHeight="1" x14ac:dyDescent="0.25">
      <c r="A518" s="20" t="s">
        <v>2124</v>
      </c>
      <c r="B518" s="22">
        <v>2024</v>
      </c>
      <c r="C518" s="90" t="s">
        <v>21</v>
      </c>
      <c r="D518" s="22" t="s">
        <v>2125</v>
      </c>
      <c r="E518" s="27" t="s">
        <v>2126</v>
      </c>
      <c r="F518" s="29" t="s">
        <v>62</v>
      </c>
      <c r="G518" s="67" t="s">
        <v>72</v>
      </c>
      <c r="H518" s="36" t="s">
        <v>2127</v>
      </c>
      <c r="I518" s="37">
        <v>45607</v>
      </c>
      <c r="J518" s="37">
        <v>45609</v>
      </c>
      <c r="K518" s="22" t="s">
        <v>35</v>
      </c>
      <c r="L518" s="28">
        <v>9416.44</v>
      </c>
      <c r="M518" s="86">
        <v>4.8</v>
      </c>
      <c r="N518" s="41">
        <v>40</v>
      </c>
      <c r="O518" s="23">
        <v>1</v>
      </c>
      <c r="P518" s="23">
        <v>46</v>
      </c>
      <c r="Q518" s="23">
        <v>0</v>
      </c>
      <c r="R518" s="23">
        <f t="shared" si="8"/>
        <v>47</v>
      </c>
      <c r="S518" s="22">
        <v>12</v>
      </c>
      <c r="T518" s="20" t="s">
        <v>2128</v>
      </c>
    </row>
    <row r="519" spans="1:20" ht="23.25" customHeight="1" x14ac:dyDescent="0.25">
      <c r="A519" s="21" t="s">
        <v>2129</v>
      </c>
      <c r="B519" s="24">
        <v>2024</v>
      </c>
      <c r="C519" s="90" t="s">
        <v>21</v>
      </c>
      <c r="D519" s="24" t="s">
        <v>2130</v>
      </c>
      <c r="E519" s="30" t="s">
        <v>2131</v>
      </c>
      <c r="F519" s="74" t="s">
        <v>62</v>
      </c>
      <c r="G519" s="45" t="s">
        <v>72</v>
      </c>
      <c r="H519" s="38" t="s">
        <v>2132</v>
      </c>
      <c r="I519" s="39">
        <v>45614</v>
      </c>
      <c r="J519" s="39">
        <v>45617</v>
      </c>
      <c r="K519" s="24" t="s">
        <v>35</v>
      </c>
      <c r="L519" s="26">
        <v>6800.82</v>
      </c>
      <c r="M519" s="87">
        <v>4.7</v>
      </c>
      <c r="N519" s="40">
        <v>40</v>
      </c>
      <c r="O519" s="25">
        <v>0</v>
      </c>
      <c r="P519" s="25">
        <v>37</v>
      </c>
      <c r="Q519" s="25">
        <v>0</v>
      </c>
      <c r="R519" s="25">
        <f t="shared" si="8"/>
        <v>37</v>
      </c>
      <c r="S519" s="24">
        <v>12</v>
      </c>
      <c r="T519" s="21" t="s">
        <v>1472</v>
      </c>
    </row>
    <row r="520" spans="1:20" ht="23.25" customHeight="1" x14ac:dyDescent="0.25">
      <c r="A520" s="20" t="s">
        <v>2133</v>
      </c>
      <c r="B520" s="22">
        <v>2024</v>
      </c>
      <c r="C520" s="90" t="s">
        <v>21</v>
      </c>
      <c r="D520" s="22" t="s">
        <v>2134</v>
      </c>
      <c r="E520" s="27" t="s">
        <v>2135</v>
      </c>
      <c r="F520" s="66" t="s">
        <v>23</v>
      </c>
      <c r="G520" s="20" t="s">
        <v>38</v>
      </c>
      <c r="H520" s="36" t="s">
        <v>2136</v>
      </c>
      <c r="I520" s="37">
        <v>45614</v>
      </c>
      <c r="J520" s="37">
        <v>45618</v>
      </c>
      <c r="K520" s="22" t="s">
        <v>35</v>
      </c>
      <c r="L520" s="28">
        <v>12555.28</v>
      </c>
      <c r="M520" s="86">
        <v>4.8</v>
      </c>
      <c r="N520" s="41">
        <v>20</v>
      </c>
      <c r="O520" s="23">
        <v>20</v>
      </c>
      <c r="P520" s="23">
        <v>0</v>
      </c>
      <c r="Q520" s="23">
        <v>0</v>
      </c>
      <c r="R520" s="23">
        <f t="shared" si="8"/>
        <v>20</v>
      </c>
      <c r="S520" s="22">
        <v>16</v>
      </c>
      <c r="T520" s="20" t="s">
        <v>1703</v>
      </c>
    </row>
    <row r="521" spans="1:20" ht="23.25" customHeight="1" x14ac:dyDescent="0.25">
      <c r="A521" s="21" t="s">
        <v>2137</v>
      </c>
      <c r="B521" s="24">
        <v>2024</v>
      </c>
      <c r="C521" s="90" t="s">
        <v>21</v>
      </c>
      <c r="D521" s="24" t="s">
        <v>2138</v>
      </c>
      <c r="E521" s="30" t="s">
        <v>2139</v>
      </c>
      <c r="F521" s="74" t="s">
        <v>62</v>
      </c>
      <c r="G521" s="21" t="s">
        <v>72</v>
      </c>
      <c r="H521" s="38" t="s">
        <v>2140</v>
      </c>
      <c r="I521" s="39">
        <v>45615</v>
      </c>
      <c r="J521" s="39">
        <v>45624</v>
      </c>
      <c r="K521" s="24" t="s">
        <v>35</v>
      </c>
      <c r="L521" s="26">
        <v>10250.44</v>
      </c>
      <c r="M521" s="87">
        <v>4</v>
      </c>
      <c r="N521" s="40">
        <v>20</v>
      </c>
      <c r="O521" s="25">
        <v>0</v>
      </c>
      <c r="P521" s="25">
        <v>19</v>
      </c>
      <c r="Q521" s="25">
        <v>0</v>
      </c>
      <c r="R521" s="25">
        <f t="shared" si="8"/>
        <v>19</v>
      </c>
      <c r="S521" s="24">
        <v>16</v>
      </c>
      <c r="T521" s="21" t="s">
        <v>549</v>
      </c>
    </row>
    <row r="522" spans="1:20" ht="23.25" customHeight="1" x14ac:dyDescent="0.25">
      <c r="A522" s="20" t="s">
        <v>2141</v>
      </c>
      <c r="B522" s="22">
        <v>2024</v>
      </c>
      <c r="C522" s="91" t="s">
        <v>21</v>
      </c>
      <c r="D522" s="22" t="s">
        <v>2142</v>
      </c>
      <c r="E522" s="27" t="s">
        <v>2143</v>
      </c>
      <c r="F522" s="29" t="s">
        <v>23</v>
      </c>
      <c r="G522" s="20" t="s">
        <v>38</v>
      </c>
      <c r="H522" s="36" t="s">
        <v>2144</v>
      </c>
      <c r="I522" s="37">
        <v>45617</v>
      </c>
      <c r="J522" s="37">
        <v>45617</v>
      </c>
      <c r="K522" s="22" t="s">
        <v>35</v>
      </c>
      <c r="L522" s="28">
        <v>9154.9500000000007</v>
      </c>
      <c r="M522" s="86">
        <v>5</v>
      </c>
      <c r="N522" s="41">
        <v>0</v>
      </c>
      <c r="O522" s="23">
        <v>0</v>
      </c>
      <c r="P522" s="23">
        <v>0</v>
      </c>
      <c r="Q522" s="23">
        <v>0</v>
      </c>
      <c r="R522" s="23">
        <f t="shared" ref="R522:R585" si="9">SUM(O522:Q522)</f>
        <v>0</v>
      </c>
      <c r="S522" s="22">
        <v>21</v>
      </c>
      <c r="T522" s="20" t="s">
        <v>1367</v>
      </c>
    </row>
    <row r="523" spans="1:20" ht="23.25" customHeight="1" x14ac:dyDescent="0.25">
      <c r="A523" s="21" t="s">
        <v>2145</v>
      </c>
      <c r="B523" s="24">
        <v>2024</v>
      </c>
      <c r="C523" s="91" t="s">
        <v>21</v>
      </c>
      <c r="D523" s="24" t="s">
        <v>2117</v>
      </c>
      <c r="E523" s="30" t="s">
        <v>2146</v>
      </c>
      <c r="F523" s="74" t="s">
        <v>23</v>
      </c>
      <c r="G523" s="21" t="s">
        <v>38</v>
      </c>
      <c r="H523" s="38" t="s">
        <v>2144</v>
      </c>
      <c r="I523" s="39">
        <v>45617</v>
      </c>
      <c r="J523" s="39">
        <v>45617</v>
      </c>
      <c r="K523" s="24" t="s">
        <v>35</v>
      </c>
      <c r="L523" s="26">
        <v>2615.6999999999998</v>
      </c>
      <c r="M523" s="87">
        <v>5</v>
      </c>
      <c r="N523" s="40">
        <v>0</v>
      </c>
      <c r="O523" s="25">
        <v>0</v>
      </c>
      <c r="P523" s="25">
        <v>0</v>
      </c>
      <c r="Q523" s="25">
        <v>0</v>
      </c>
      <c r="R523" s="25">
        <f t="shared" si="9"/>
        <v>0</v>
      </c>
      <c r="S523" s="24">
        <v>6</v>
      </c>
      <c r="T523" s="21" t="s">
        <v>2147</v>
      </c>
    </row>
    <row r="524" spans="1:20" ht="23.25" customHeight="1" x14ac:dyDescent="0.25">
      <c r="A524" s="20" t="s">
        <v>2148</v>
      </c>
      <c r="B524" s="22">
        <v>2024</v>
      </c>
      <c r="C524" s="90" t="s">
        <v>21</v>
      </c>
      <c r="D524" s="22" t="s">
        <v>1777</v>
      </c>
      <c r="E524" s="27" t="s">
        <v>2149</v>
      </c>
      <c r="F524" s="29" t="s">
        <v>23</v>
      </c>
      <c r="G524" s="20" t="s">
        <v>457</v>
      </c>
      <c r="H524" s="36" t="s">
        <v>2150</v>
      </c>
      <c r="I524" s="37">
        <v>45618</v>
      </c>
      <c r="J524" s="37">
        <v>45618</v>
      </c>
      <c r="K524" s="22" t="s">
        <v>26</v>
      </c>
      <c r="L524" s="28">
        <f>49600/8</f>
        <v>6200</v>
      </c>
      <c r="M524" s="86">
        <v>5</v>
      </c>
      <c r="N524" s="23">
        <v>20</v>
      </c>
      <c r="O524" s="23">
        <v>6</v>
      </c>
      <c r="P524" s="23">
        <v>0</v>
      </c>
      <c r="Q524" s="23">
        <v>0</v>
      </c>
      <c r="R524" s="23">
        <f t="shared" si="9"/>
        <v>6</v>
      </c>
      <c r="S524" s="22"/>
      <c r="T524" s="20"/>
    </row>
    <row r="525" spans="1:20" ht="23.25" customHeight="1" x14ac:dyDescent="0.25">
      <c r="A525" s="21" t="s">
        <v>2151</v>
      </c>
      <c r="B525" s="24">
        <v>2024</v>
      </c>
      <c r="C525" s="90" t="s">
        <v>21</v>
      </c>
      <c r="D525" s="24" t="s">
        <v>2058</v>
      </c>
      <c r="E525" s="30" t="s">
        <v>2152</v>
      </c>
      <c r="F525" s="74" t="s">
        <v>62</v>
      </c>
      <c r="G525" s="21" t="s">
        <v>72</v>
      </c>
      <c r="H525" s="38" t="s">
        <v>2153</v>
      </c>
      <c r="I525" s="39">
        <v>45621</v>
      </c>
      <c r="J525" s="39">
        <v>45624</v>
      </c>
      <c r="K525" s="24" t="s">
        <v>26</v>
      </c>
      <c r="L525" s="26">
        <v>10400</v>
      </c>
      <c r="M525" s="87">
        <v>4.7</v>
      </c>
      <c r="N525" s="40">
        <v>40</v>
      </c>
      <c r="O525" s="25">
        <v>0</v>
      </c>
      <c r="P525" s="25">
        <v>46</v>
      </c>
      <c r="Q525" s="25">
        <v>0</v>
      </c>
      <c r="R525" s="25">
        <f t="shared" si="9"/>
        <v>46</v>
      </c>
      <c r="S525" s="24">
        <v>16</v>
      </c>
      <c r="T525" s="21" t="s">
        <v>2154</v>
      </c>
    </row>
    <row r="526" spans="1:20" ht="23.25" customHeight="1" x14ac:dyDescent="0.25">
      <c r="A526" s="20" t="s">
        <v>2155</v>
      </c>
      <c r="B526" s="22">
        <v>2024</v>
      </c>
      <c r="C526" s="90" t="s">
        <v>21</v>
      </c>
      <c r="D526" s="22" t="s">
        <v>2063</v>
      </c>
      <c r="E526" s="27" t="s">
        <v>2156</v>
      </c>
      <c r="F526" s="29" t="s">
        <v>62</v>
      </c>
      <c r="G526" s="20" t="s">
        <v>72</v>
      </c>
      <c r="H526" s="36" t="s">
        <v>2153</v>
      </c>
      <c r="I526" s="37">
        <v>45621</v>
      </c>
      <c r="J526" s="37">
        <v>45624</v>
      </c>
      <c r="K526" s="22" t="s">
        <v>35</v>
      </c>
      <c r="L526" s="28">
        <v>9067.76</v>
      </c>
      <c r="M526" s="86">
        <v>4.9000000000000004</v>
      </c>
      <c r="N526" s="41">
        <v>30</v>
      </c>
      <c r="O526" s="23">
        <v>0</v>
      </c>
      <c r="P526" s="23">
        <v>20</v>
      </c>
      <c r="Q526" s="23">
        <v>0</v>
      </c>
      <c r="R526" s="23">
        <f t="shared" si="9"/>
        <v>20</v>
      </c>
      <c r="S526" s="22">
        <v>16</v>
      </c>
      <c r="T526" s="20" t="s">
        <v>1716</v>
      </c>
    </row>
    <row r="527" spans="1:20" ht="23.25" customHeight="1" x14ac:dyDescent="0.25">
      <c r="A527" s="21" t="s">
        <v>2157</v>
      </c>
      <c r="B527" s="24">
        <v>2024</v>
      </c>
      <c r="C527" s="90" t="s">
        <v>21</v>
      </c>
      <c r="D527" s="24"/>
      <c r="E527" s="30" t="s">
        <v>2158</v>
      </c>
      <c r="F527" s="31" t="s">
        <v>23</v>
      </c>
      <c r="G527" s="21" t="s">
        <v>199</v>
      </c>
      <c r="H527" s="38" t="s">
        <v>83</v>
      </c>
      <c r="I527" s="39">
        <v>45621</v>
      </c>
      <c r="J527" s="39">
        <v>45621</v>
      </c>
      <c r="K527" s="24" t="s">
        <v>35</v>
      </c>
      <c r="L527" s="26"/>
      <c r="M527" s="87"/>
      <c r="N527" s="40"/>
      <c r="O527" s="25">
        <v>0</v>
      </c>
      <c r="P527" s="25">
        <v>0</v>
      </c>
      <c r="Q527" s="25">
        <v>0</v>
      </c>
      <c r="R527" s="25">
        <f t="shared" si="9"/>
        <v>0</v>
      </c>
      <c r="S527" s="24"/>
      <c r="T527" s="21" t="s">
        <v>2159</v>
      </c>
    </row>
    <row r="528" spans="1:20" ht="23.25" customHeight="1" x14ac:dyDescent="0.25">
      <c r="A528" s="20" t="s">
        <v>2160</v>
      </c>
      <c r="B528" s="22">
        <v>2024</v>
      </c>
      <c r="C528" s="90" t="s">
        <v>21</v>
      </c>
      <c r="D528" s="22" t="s">
        <v>2161</v>
      </c>
      <c r="E528" s="27" t="s">
        <v>2162</v>
      </c>
      <c r="F528" s="29" t="s">
        <v>23</v>
      </c>
      <c r="G528" s="20" t="s">
        <v>38</v>
      </c>
      <c r="H528" s="36" t="s">
        <v>2163</v>
      </c>
      <c r="I528" s="37">
        <v>45622</v>
      </c>
      <c r="J528" s="37">
        <v>45624</v>
      </c>
      <c r="K528" s="22" t="s">
        <v>35</v>
      </c>
      <c r="L528" s="28">
        <v>3040.86</v>
      </c>
      <c r="M528" s="86">
        <v>4.7</v>
      </c>
      <c r="N528" s="41">
        <v>20</v>
      </c>
      <c r="O528" s="23">
        <v>20</v>
      </c>
      <c r="P528" s="23">
        <v>0</v>
      </c>
      <c r="Q528" s="23">
        <v>0</v>
      </c>
      <c r="R528" s="23">
        <f t="shared" si="9"/>
        <v>20</v>
      </c>
      <c r="S528" s="22">
        <v>8</v>
      </c>
      <c r="T528" s="20" t="s">
        <v>2164</v>
      </c>
    </row>
    <row r="529" spans="1:20" ht="23.25" customHeight="1" x14ac:dyDescent="0.25">
      <c r="A529" s="21" t="s">
        <v>2165</v>
      </c>
      <c r="B529" s="24">
        <v>2024</v>
      </c>
      <c r="C529" s="90" t="s">
        <v>21</v>
      </c>
      <c r="D529" s="24" t="s">
        <v>2166</v>
      </c>
      <c r="E529" s="30" t="s">
        <v>2167</v>
      </c>
      <c r="F529" s="31" t="s">
        <v>23</v>
      </c>
      <c r="G529" s="21" t="s">
        <v>24</v>
      </c>
      <c r="H529" s="38" t="s">
        <v>2168</v>
      </c>
      <c r="I529" s="39">
        <v>45622</v>
      </c>
      <c r="J529" s="39">
        <v>45629</v>
      </c>
      <c r="K529" s="24" t="s">
        <v>26</v>
      </c>
      <c r="L529" s="26">
        <v>25000</v>
      </c>
      <c r="M529" s="87">
        <v>4.8</v>
      </c>
      <c r="N529" s="40">
        <v>30</v>
      </c>
      <c r="O529" s="25">
        <v>23</v>
      </c>
      <c r="P529" s="25">
        <v>4</v>
      </c>
      <c r="Q529" s="25">
        <v>1</v>
      </c>
      <c r="R529" s="25">
        <f t="shared" si="9"/>
        <v>28</v>
      </c>
      <c r="S529" s="24">
        <v>20</v>
      </c>
      <c r="T529" s="21"/>
    </row>
    <row r="530" spans="1:20" ht="23.25" customHeight="1" x14ac:dyDescent="0.25">
      <c r="A530" s="20" t="s">
        <v>2169</v>
      </c>
      <c r="B530" s="22">
        <v>2024</v>
      </c>
      <c r="C530" s="90" t="s">
        <v>21</v>
      </c>
      <c r="D530" s="22" t="s">
        <v>2170</v>
      </c>
      <c r="E530" s="27" t="s">
        <v>2171</v>
      </c>
      <c r="F530" s="29" t="s">
        <v>62</v>
      </c>
      <c r="G530" s="20" t="s">
        <v>72</v>
      </c>
      <c r="H530" s="36" t="s">
        <v>2172</v>
      </c>
      <c r="I530" s="37">
        <v>45624</v>
      </c>
      <c r="J530" s="37">
        <v>45624</v>
      </c>
      <c r="K530" s="22" t="s">
        <v>220</v>
      </c>
      <c r="L530" s="28">
        <v>0</v>
      </c>
      <c r="M530" s="86">
        <v>4.9000000000000004</v>
      </c>
      <c r="N530" s="41">
        <v>170</v>
      </c>
      <c r="O530" s="23">
        <v>36</v>
      </c>
      <c r="P530" s="23">
        <v>79</v>
      </c>
      <c r="Q530" s="23">
        <v>23</v>
      </c>
      <c r="R530" s="23">
        <f t="shared" si="9"/>
        <v>138</v>
      </c>
      <c r="S530" s="22">
        <v>8</v>
      </c>
      <c r="T530" s="20" t="s">
        <v>472</v>
      </c>
    </row>
    <row r="531" spans="1:20" ht="23.25" customHeight="1" x14ac:dyDescent="0.25">
      <c r="A531" s="21" t="s">
        <v>2173</v>
      </c>
      <c r="B531" s="24">
        <v>2024</v>
      </c>
      <c r="C531" s="90" t="s">
        <v>21</v>
      </c>
      <c r="D531" s="24" t="s">
        <v>1887</v>
      </c>
      <c r="E531" s="30" t="s">
        <v>2174</v>
      </c>
      <c r="F531" s="31" t="s">
        <v>62</v>
      </c>
      <c r="G531" s="21" t="s">
        <v>72</v>
      </c>
      <c r="H531" s="38" t="s">
        <v>2175</v>
      </c>
      <c r="I531" s="39">
        <v>45628</v>
      </c>
      <c r="J531" s="39">
        <v>45630</v>
      </c>
      <c r="K531" s="24" t="s">
        <v>35</v>
      </c>
      <c r="L531" s="26">
        <v>9416.4599999999991</v>
      </c>
      <c r="M531" s="87">
        <v>4.9000000000000004</v>
      </c>
      <c r="N531" s="40">
        <v>20</v>
      </c>
      <c r="O531" s="25">
        <v>0</v>
      </c>
      <c r="P531" s="25">
        <v>19</v>
      </c>
      <c r="Q531" s="25">
        <v>0</v>
      </c>
      <c r="R531" s="25">
        <f t="shared" si="9"/>
        <v>19</v>
      </c>
      <c r="S531" s="24">
        <v>12</v>
      </c>
      <c r="T531" s="21" t="s">
        <v>1890</v>
      </c>
    </row>
    <row r="532" spans="1:20" ht="23.25" customHeight="1" x14ac:dyDescent="0.25">
      <c r="A532" s="20" t="s">
        <v>2176</v>
      </c>
      <c r="B532" s="22">
        <v>2024</v>
      </c>
      <c r="C532" s="90" t="s">
        <v>21</v>
      </c>
      <c r="D532" s="22" t="s">
        <v>2177</v>
      </c>
      <c r="E532" s="27" t="s">
        <v>2178</v>
      </c>
      <c r="F532" s="29" t="s">
        <v>23</v>
      </c>
      <c r="G532" s="20" t="s">
        <v>199</v>
      </c>
      <c r="H532" s="36" t="s">
        <v>2179</v>
      </c>
      <c r="I532" s="37">
        <v>45631</v>
      </c>
      <c r="J532" s="37">
        <v>45631</v>
      </c>
      <c r="K532" s="22" t="s">
        <v>26</v>
      </c>
      <c r="L532" s="28">
        <v>28900</v>
      </c>
      <c r="M532" s="86">
        <v>5</v>
      </c>
      <c r="N532" s="41">
        <v>170</v>
      </c>
      <c r="O532" s="23">
        <v>118</v>
      </c>
      <c r="P532" s="23">
        <v>0</v>
      </c>
      <c r="Q532" s="23">
        <v>0</v>
      </c>
      <c r="R532" s="23">
        <f t="shared" si="9"/>
        <v>118</v>
      </c>
      <c r="S532" s="22">
        <v>1</v>
      </c>
      <c r="T532" s="20" t="s">
        <v>2180</v>
      </c>
    </row>
    <row r="533" spans="1:20" ht="23.25" customHeight="1" x14ac:dyDescent="0.25">
      <c r="A533" s="21" t="s">
        <v>2181</v>
      </c>
      <c r="B533" s="24">
        <v>2024</v>
      </c>
      <c r="C533" s="90" t="s">
        <v>21</v>
      </c>
      <c r="D533" s="24" t="s">
        <v>1777</v>
      </c>
      <c r="E533" s="30" t="s">
        <v>2182</v>
      </c>
      <c r="F533" s="31" t="s">
        <v>23</v>
      </c>
      <c r="G533" s="21" t="s">
        <v>457</v>
      </c>
      <c r="H533" s="38" t="s">
        <v>2183</v>
      </c>
      <c r="I533" s="39">
        <v>45632</v>
      </c>
      <c r="J533" s="39">
        <v>45632</v>
      </c>
      <c r="K533" s="24" t="s">
        <v>26</v>
      </c>
      <c r="L533" s="26">
        <f>49600/8</f>
        <v>6200</v>
      </c>
      <c r="M533" s="87">
        <v>5</v>
      </c>
      <c r="N533" s="25">
        <v>40</v>
      </c>
      <c r="O533" s="25">
        <v>4</v>
      </c>
      <c r="P533" s="25">
        <v>0</v>
      </c>
      <c r="Q533" s="25">
        <v>0</v>
      </c>
      <c r="R533" s="25">
        <f t="shared" si="9"/>
        <v>4</v>
      </c>
      <c r="S533" s="24">
        <v>4</v>
      </c>
      <c r="T533" s="21" t="s">
        <v>1780</v>
      </c>
    </row>
    <row r="534" spans="1:20" ht="23.25" customHeight="1" x14ac:dyDescent="0.25">
      <c r="A534" s="20" t="s">
        <v>2184</v>
      </c>
      <c r="B534" s="22">
        <v>2024</v>
      </c>
      <c r="C534" s="90" t="s">
        <v>21</v>
      </c>
      <c r="D534" s="22" t="s">
        <v>2185</v>
      </c>
      <c r="E534" s="27" t="s">
        <v>2186</v>
      </c>
      <c r="F534" s="29" t="s">
        <v>81</v>
      </c>
      <c r="G534" s="20" t="s">
        <v>72</v>
      </c>
      <c r="H534" s="36" t="s">
        <v>2183</v>
      </c>
      <c r="I534" s="37">
        <v>45632</v>
      </c>
      <c r="J534" s="37">
        <v>45632</v>
      </c>
      <c r="K534" s="22" t="s">
        <v>35</v>
      </c>
      <c r="L534" s="28">
        <v>3680.45</v>
      </c>
      <c r="M534" s="86">
        <v>4.8</v>
      </c>
      <c r="N534" s="41">
        <v>30</v>
      </c>
      <c r="O534" s="23">
        <v>0</v>
      </c>
      <c r="P534" s="23">
        <v>0</v>
      </c>
      <c r="Q534" s="23">
        <v>49</v>
      </c>
      <c r="R534" s="23">
        <f t="shared" si="9"/>
        <v>49</v>
      </c>
      <c r="S534" s="22">
        <v>4</v>
      </c>
      <c r="T534" s="20" t="s">
        <v>2187</v>
      </c>
    </row>
    <row r="535" spans="1:20" ht="23.25" customHeight="1" x14ac:dyDescent="0.25">
      <c r="A535" s="21" t="s">
        <v>2188</v>
      </c>
      <c r="B535" s="24">
        <v>2024</v>
      </c>
      <c r="C535" s="90" t="s">
        <v>21</v>
      </c>
      <c r="D535" s="24" t="s">
        <v>1971</v>
      </c>
      <c r="E535" s="30" t="s">
        <v>2189</v>
      </c>
      <c r="F535" s="31" t="s">
        <v>81</v>
      </c>
      <c r="G535" s="21" t="s">
        <v>72</v>
      </c>
      <c r="H535" s="38" t="s">
        <v>2190</v>
      </c>
      <c r="I535" s="39">
        <v>45635</v>
      </c>
      <c r="J535" s="39">
        <v>45639</v>
      </c>
      <c r="K535" s="24" t="s">
        <v>35</v>
      </c>
      <c r="L535" s="26">
        <f>9154.9+1027</f>
        <v>10181.9</v>
      </c>
      <c r="M535" s="87">
        <v>4.9000000000000004</v>
      </c>
      <c r="N535" s="40">
        <v>60</v>
      </c>
      <c r="O535" s="25">
        <v>0</v>
      </c>
      <c r="P535" s="25">
        <v>0</v>
      </c>
      <c r="Q535" s="25">
        <v>94</v>
      </c>
      <c r="R535" s="25">
        <f t="shared" si="9"/>
        <v>94</v>
      </c>
      <c r="S535" s="24">
        <v>20</v>
      </c>
      <c r="T535" s="21" t="s">
        <v>1974</v>
      </c>
    </row>
    <row r="536" spans="1:20" ht="23.25" customHeight="1" x14ac:dyDescent="0.25">
      <c r="A536" s="20" t="s">
        <v>2191</v>
      </c>
      <c r="B536" s="22">
        <v>2024</v>
      </c>
      <c r="C536" s="90" t="s">
        <v>21</v>
      </c>
      <c r="D536" s="22" t="s">
        <v>2192</v>
      </c>
      <c r="E536" s="27" t="s">
        <v>2193</v>
      </c>
      <c r="F536" s="29" t="s">
        <v>23</v>
      </c>
      <c r="G536" s="20" t="s">
        <v>33</v>
      </c>
      <c r="H536" s="36" t="s">
        <v>2194</v>
      </c>
      <c r="I536" s="37">
        <v>45641</v>
      </c>
      <c r="J536" s="37">
        <v>45641</v>
      </c>
      <c r="K536" s="22"/>
      <c r="L536" s="28"/>
      <c r="M536" s="86"/>
      <c r="N536" s="41"/>
      <c r="O536" s="23">
        <v>0</v>
      </c>
      <c r="P536" s="23">
        <v>0</v>
      </c>
      <c r="Q536" s="23">
        <v>0</v>
      </c>
      <c r="R536" s="23">
        <f t="shared" si="9"/>
        <v>0</v>
      </c>
      <c r="S536" s="22"/>
      <c r="T536" s="20"/>
    </row>
    <row r="537" spans="1:20" ht="23.25" customHeight="1" x14ac:dyDescent="0.25">
      <c r="A537" s="21" t="s">
        <v>2195</v>
      </c>
      <c r="B537" s="24">
        <v>2025</v>
      </c>
      <c r="C537" s="90" t="s">
        <v>21</v>
      </c>
      <c r="D537" s="24" t="s">
        <v>2196</v>
      </c>
      <c r="E537" s="30" t="s">
        <v>2197</v>
      </c>
      <c r="F537" s="31" t="s">
        <v>62</v>
      </c>
      <c r="G537" s="21" t="s">
        <v>72</v>
      </c>
      <c r="H537" s="24" t="s">
        <v>2198</v>
      </c>
      <c r="I537" s="267">
        <v>45684</v>
      </c>
      <c r="J537" s="39">
        <v>45688</v>
      </c>
      <c r="K537" s="24" t="s">
        <v>35</v>
      </c>
      <c r="L537" s="26">
        <v>12813.06</v>
      </c>
      <c r="M537" s="87">
        <v>4.8</v>
      </c>
      <c r="N537" s="40">
        <v>20</v>
      </c>
      <c r="O537" s="25">
        <v>7</v>
      </c>
      <c r="P537" s="25">
        <v>14</v>
      </c>
      <c r="Q537" s="25">
        <v>0</v>
      </c>
      <c r="R537" s="25">
        <f t="shared" si="9"/>
        <v>21</v>
      </c>
      <c r="S537" s="24">
        <v>20</v>
      </c>
      <c r="T537" s="21" t="s">
        <v>74</v>
      </c>
    </row>
    <row r="538" spans="1:20" ht="23.25" customHeight="1" x14ac:dyDescent="0.25">
      <c r="A538" s="20" t="s">
        <v>2199</v>
      </c>
      <c r="B538" s="22">
        <v>2025</v>
      </c>
      <c r="C538" s="90" t="s">
        <v>21</v>
      </c>
      <c r="D538" s="22" t="s">
        <v>2200</v>
      </c>
      <c r="E538" s="27" t="s">
        <v>2193</v>
      </c>
      <c r="F538" s="29" t="s">
        <v>23</v>
      </c>
      <c r="G538" s="20" t="s">
        <v>33</v>
      </c>
      <c r="H538" s="36" t="s">
        <v>2201</v>
      </c>
      <c r="I538" s="37">
        <v>45689</v>
      </c>
      <c r="J538" s="37">
        <v>45689</v>
      </c>
      <c r="K538" s="22"/>
      <c r="L538" s="28"/>
      <c r="M538" s="86"/>
      <c r="N538" s="41">
        <v>49</v>
      </c>
      <c r="O538" s="23">
        <v>49</v>
      </c>
      <c r="P538" s="23">
        <v>0</v>
      </c>
      <c r="Q538" s="23">
        <v>0</v>
      </c>
      <c r="R538" s="23">
        <f t="shared" si="9"/>
        <v>49</v>
      </c>
      <c r="S538" s="22"/>
      <c r="T538" s="20"/>
    </row>
    <row r="539" spans="1:20" ht="23.25" customHeight="1" x14ac:dyDescent="0.25">
      <c r="A539" s="21" t="s">
        <v>2202</v>
      </c>
      <c r="B539" s="24">
        <v>2025</v>
      </c>
      <c r="C539" s="92" t="s">
        <v>21</v>
      </c>
      <c r="D539" s="24" t="s">
        <v>2203</v>
      </c>
      <c r="E539" s="30" t="s">
        <v>2204</v>
      </c>
      <c r="F539" s="31" t="s">
        <v>62</v>
      </c>
      <c r="G539" s="21" t="s">
        <v>72</v>
      </c>
      <c r="H539" s="38" t="s">
        <v>2205</v>
      </c>
      <c r="I539" s="39">
        <v>45691</v>
      </c>
      <c r="J539" s="39">
        <v>45694</v>
      </c>
      <c r="K539" s="24" t="s">
        <v>35</v>
      </c>
      <c r="L539" s="26">
        <v>9067.76</v>
      </c>
      <c r="M539" s="87">
        <v>4.7</v>
      </c>
      <c r="N539" s="40">
        <v>30</v>
      </c>
      <c r="O539" s="25">
        <v>0</v>
      </c>
      <c r="P539" s="25">
        <v>26</v>
      </c>
      <c r="Q539" s="25">
        <v>0</v>
      </c>
      <c r="R539" s="25">
        <f t="shared" si="9"/>
        <v>26</v>
      </c>
      <c r="S539" s="24">
        <v>16</v>
      </c>
      <c r="T539" s="21" t="s">
        <v>1716</v>
      </c>
    </row>
    <row r="540" spans="1:20" ht="23.25" customHeight="1" x14ac:dyDescent="0.25">
      <c r="A540" s="20" t="s">
        <v>2206</v>
      </c>
      <c r="B540" s="22">
        <v>2025</v>
      </c>
      <c r="C540" s="90" t="s">
        <v>21</v>
      </c>
      <c r="D540" s="22" t="s">
        <v>2207</v>
      </c>
      <c r="E540" s="27" t="s">
        <v>2208</v>
      </c>
      <c r="F540" s="29" t="s">
        <v>23</v>
      </c>
      <c r="G540" s="20" t="s">
        <v>364</v>
      </c>
      <c r="H540" s="36" t="s">
        <v>2209</v>
      </c>
      <c r="I540" s="37">
        <v>45691</v>
      </c>
      <c r="J540" s="37">
        <v>45692</v>
      </c>
      <c r="K540" s="22" t="s">
        <v>35</v>
      </c>
      <c r="L540" s="28">
        <v>0</v>
      </c>
      <c r="M540" s="86">
        <v>4.9000000000000004</v>
      </c>
      <c r="N540" s="41">
        <v>10</v>
      </c>
      <c r="O540" s="23">
        <v>8</v>
      </c>
      <c r="P540" s="23">
        <v>0</v>
      </c>
      <c r="Q540" s="23">
        <v>0</v>
      </c>
      <c r="R540" s="23">
        <f t="shared" si="9"/>
        <v>8</v>
      </c>
      <c r="S540" s="22">
        <v>8</v>
      </c>
      <c r="T540" s="20" t="s">
        <v>472</v>
      </c>
    </row>
    <row r="541" spans="1:20" ht="23.25" customHeight="1" x14ac:dyDescent="0.25">
      <c r="A541" s="21" t="s">
        <v>2210</v>
      </c>
      <c r="B541" s="24">
        <v>2025</v>
      </c>
      <c r="C541" s="90" t="s">
        <v>21</v>
      </c>
      <c r="D541" s="24" t="s">
        <v>2211</v>
      </c>
      <c r="E541" s="30" t="s">
        <v>2212</v>
      </c>
      <c r="F541" s="31" t="s">
        <v>23</v>
      </c>
      <c r="G541" s="21" t="s">
        <v>24</v>
      </c>
      <c r="H541" s="24" t="s">
        <v>2213</v>
      </c>
      <c r="I541" s="39">
        <v>45691</v>
      </c>
      <c r="J541" s="39">
        <v>45693</v>
      </c>
      <c r="K541" s="24" t="s">
        <v>35</v>
      </c>
      <c r="L541" s="26">
        <v>9416.4599999999991</v>
      </c>
      <c r="M541" s="87">
        <v>5</v>
      </c>
      <c r="N541" s="40">
        <v>20</v>
      </c>
      <c r="O541" s="25">
        <v>14</v>
      </c>
      <c r="P541" s="25">
        <v>0</v>
      </c>
      <c r="Q541" s="25">
        <v>0</v>
      </c>
      <c r="R541" s="25">
        <f t="shared" si="9"/>
        <v>14</v>
      </c>
      <c r="S541" s="24">
        <v>12</v>
      </c>
      <c r="T541" s="21" t="s">
        <v>1914</v>
      </c>
    </row>
    <row r="542" spans="1:20" ht="23.25" customHeight="1" x14ac:dyDescent="0.25">
      <c r="A542" s="20" t="s">
        <v>2214</v>
      </c>
      <c r="B542" s="22">
        <v>2025</v>
      </c>
      <c r="C542" s="92" t="s">
        <v>21</v>
      </c>
      <c r="D542" s="22" t="s">
        <v>2215</v>
      </c>
      <c r="E542" s="27" t="s">
        <v>2216</v>
      </c>
      <c r="F542" s="29" t="s">
        <v>81</v>
      </c>
      <c r="G542" s="20" t="s">
        <v>72</v>
      </c>
      <c r="H542" s="22" t="s">
        <v>2217</v>
      </c>
      <c r="I542" s="37">
        <v>45691</v>
      </c>
      <c r="J542" s="37">
        <v>45705</v>
      </c>
      <c r="K542" s="22" t="s">
        <v>35</v>
      </c>
      <c r="L542" s="28">
        <v>11334.7</v>
      </c>
      <c r="M542" s="86">
        <v>4.7</v>
      </c>
      <c r="N542" s="41">
        <v>20</v>
      </c>
      <c r="O542" s="23">
        <v>0</v>
      </c>
      <c r="P542" s="23">
        <v>0</v>
      </c>
      <c r="Q542" s="23">
        <v>30</v>
      </c>
      <c r="R542" s="23">
        <f t="shared" si="9"/>
        <v>30</v>
      </c>
      <c r="S542" s="22">
        <v>20</v>
      </c>
      <c r="T542" s="20" t="s">
        <v>1743</v>
      </c>
    </row>
    <row r="543" spans="1:20" ht="23.25" customHeight="1" x14ac:dyDescent="0.25">
      <c r="A543" s="21" t="s">
        <v>2218</v>
      </c>
      <c r="B543" s="24">
        <v>2025</v>
      </c>
      <c r="C543" s="92" t="s">
        <v>21</v>
      </c>
      <c r="D543" s="24" t="s">
        <v>2219</v>
      </c>
      <c r="E543" s="30" t="s">
        <v>2220</v>
      </c>
      <c r="F543" s="31" t="s">
        <v>23</v>
      </c>
      <c r="G543" s="21" t="s">
        <v>38</v>
      </c>
      <c r="H543" s="38" t="s">
        <v>2221</v>
      </c>
      <c r="I543" s="39">
        <v>45694</v>
      </c>
      <c r="J543" s="39">
        <v>45702</v>
      </c>
      <c r="K543" s="24" t="s">
        <v>35</v>
      </c>
      <c r="L543" s="26">
        <v>15277.08</v>
      </c>
      <c r="M543" s="87">
        <v>5</v>
      </c>
      <c r="N543" s="40">
        <v>11</v>
      </c>
      <c r="O543" s="25">
        <v>11</v>
      </c>
      <c r="P543" s="25">
        <v>0</v>
      </c>
      <c r="Q543" s="25">
        <v>0</v>
      </c>
      <c r="R543" s="25">
        <f t="shared" si="9"/>
        <v>11</v>
      </c>
      <c r="S543" s="24">
        <v>20</v>
      </c>
      <c r="T543" s="21" t="s">
        <v>1785</v>
      </c>
    </row>
    <row r="544" spans="1:20" ht="23.25" customHeight="1" x14ac:dyDescent="0.25">
      <c r="A544" s="20" t="s">
        <v>2222</v>
      </c>
      <c r="B544" s="22">
        <v>2025</v>
      </c>
      <c r="C544" s="92" t="s">
        <v>21</v>
      </c>
      <c r="D544" s="22" t="s">
        <v>2223</v>
      </c>
      <c r="E544" s="27" t="s">
        <v>2224</v>
      </c>
      <c r="F544" s="29" t="s">
        <v>23</v>
      </c>
      <c r="G544" s="20" t="s">
        <v>1729</v>
      </c>
      <c r="H544" s="36" t="s">
        <v>2225</v>
      </c>
      <c r="I544" s="37">
        <v>45698</v>
      </c>
      <c r="J544" s="37">
        <v>45702</v>
      </c>
      <c r="K544" s="22" t="s">
        <v>26</v>
      </c>
      <c r="L544" s="28">
        <f>402.17*12</f>
        <v>4826.04</v>
      </c>
      <c r="M544" s="86">
        <v>4.8</v>
      </c>
      <c r="N544" s="41">
        <v>40</v>
      </c>
      <c r="O544" s="23">
        <v>43</v>
      </c>
      <c r="P544" s="23">
        <v>0</v>
      </c>
      <c r="Q544" s="23">
        <v>0</v>
      </c>
      <c r="R544" s="23">
        <f t="shared" si="9"/>
        <v>43</v>
      </c>
      <c r="S544" s="22">
        <v>12</v>
      </c>
      <c r="T544" s="20" t="s">
        <v>1752</v>
      </c>
    </row>
    <row r="545" spans="1:20" ht="23.25" customHeight="1" x14ac:dyDescent="0.25">
      <c r="A545" s="21" t="s">
        <v>2226</v>
      </c>
      <c r="B545" s="24">
        <v>2025</v>
      </c>
      <c r="C545" s="92" t="s">
        <v>21</v>
      </c>
      <c r="D545" s="24" t="s">
        <v>2227</v>
      </c>
      <c r="E545" s="30" t="s">
        <v>2228</v>
      </c>
      <c r="F545" s="31" t="s">
        <v>62</v>
      </c>
      <c r="G545" s="21" t="s">
        <v>72</v>
      </c>
      <c r="H545" s="24" t="s">
        <v>2229</v>
      </c>
      <c r="I545" s="39">
        <v>45699</v>
      </c>
      <c r="J545" s="39">
        <v>45708</v>
      </c>
      <c r="K545" s="24" t="s">
        <v>35</v>
      </c>
      <c r="L545" s="26">
        <v>16717.68</v>
      </c>
      <c r="M545" s="87">
        <v>4.8</v>
      </c>
      <c r="N545" s="40">
        <v>40</v>
      </c>
      <c r="O545" s="25">
        <v>6</v>
      </c>
      <c r="P545" s="25">
        <v>48</v>
      </c>
      <c r="Q545" s="25">
        <v>0</v>
      </c>
      <c r="R545" s="25">
        <f t="shared" si="9"/>
        <v>54</v>
      </c>
      <c r="S545" s="24">
        <v>20</v>
      </c>
      <c r="T545" s="21" t="s">
        <v>951</v>
      </c>
    </row>
    <row r="546" spans="1:20" ht="23.25" customHeight="1" x14ac:dyDescent="0.25">
      <c r="A546" s="20" t="s">
        <v>2230</v>
      </c>
      <c r="B546" s="22">
        <v>2025</v>
      </c>
      <c r="C546" s="90" t="s">
        <v>21</v>
      </c>
      <c r="D546" s="22" t="s">
        <v>2231</v>
      </c>
      <c r="E546" s="27" t="s">
        <v>2232</v>
      </c>
      <c r="F546" s="29" t="s">
        <v>23</v>
      </c>
      <c r="G546" s="20" t="s">
        <v>38</v>
      </c>
      <c r="H546" s="36" t="s">
        <v>2233</v>
      </c>
      <c r="I546" s="37">
        <v>45706</v>
      </c>
      <c r="J546" s="37">
        <v>45707</v>
      </c>
      <c r="K546" s="22" t="s">
        <v>26</v>
      </c>
      <c r="L546" s="28">
        <v>8954.4</v>
      </c>
      <c r="M546" s="86">
        <v>5</v>
      </c>
      <c r="N546" s="41">
        <v>3</v>
      </c>
      <c r="O546" s="23">
        <v>3</v>
      </c>
      <c r="P546" s="23">
        <v>0</v>
      </c>
      <c r="Q546" s="23">
        <v>0</v>
      </c>
      <c r="R546" s="23">
        <f t="shared" si="9"/>
        <v>3</v>
      </c>
      <c r="S546" s="22">
        <v>16</v>
      </c>
      <c r="T546" s="20" t="s">
        <v>1400</v>
      </c>
    </row>
    <row r="547" spans="1:20" ht="23.25" customHeight="1" x14ac:dyDescent="0.25">
      <c r="A547" s="21" t="s">
        <v>2234</v>
      </c>
      <c r="B547" s="24">
        <v>2025</v>
      </c>
      <c r="C547" s="90" t="s">
        <v>21</v>
      </c>
      <c r="D547" s="24" t="s">
        <v>2235</v>
      </c>
      <c r="E547" s="30" t="s">
        <v>2236</v>
      </c>
      <c r="F547" s="31" t="s">
        <v>23</v>
      </c>
      <c r="G547" s="21" t="s">
        <v>24</v>
      </c>
      <c r="H547" s="24" t="s">
        <v>2237</v>
      </c>
      <c r="I547" s="39">
        <v>45706</v>
      </c>
      <c r="J547" s="39">
        <v>45708</v>
      </c>
      <c r="K547" s="24" t="s">
        <v>35</v>
      </c>
      <c r="L547" s="26">
        <v>4533.88</v>
      </c>
      <c r="M547" s="87">
        <v>4.8</v>
      </c>
      <c r="N547" s="40">
        <v>25</v>
      </c>
      <c r="O547" s="25">
        <v>21</v>
      </c>
      <c r="P547" s="25">
        <v>0</v>
      </c>
      <c r="Q547" s="25">
        <v>0</v>
      </c>
      <c r="R547" s="25">
        <f t="shared" si="9"/>
        <v>21</v>
      </c>
      <c r="S547" s="24">
        <v>8</v>
      </c>
      <c r="T547" s="21" t="s">
        <v>2014</v>
      </c>
    </row>
    <row r="548" spans="1:20" ht="23.25" customHeight="1" x14ac:dyDescent="0.25">
      <c r="A548" s="20" t="s">
        <v>2238</v>
      </c>
      <c r="B548" s="22">
        <v>2025</v>
      </c>
      <c r="C548" s="90" t="s">
        <v>21</v>
      </c>
      <c r="D548" s="22" t="s">
        <v>2239</v>
      </c>
      <c r="E548" s="27" t="s">
        <v>2240</v>
      </c>
      <c r="F548" s="29" t="s">
        <v>81</v>
      </c>
      <c r="G548" s="20" t="s">
        <v>72</v>
      </c>
      <c r="H548" s="36" t="s">
        <v>2241</v>
      </c>
      <c r="I548" s="37">
        <v>45709</v>
      </c>
      <c r="J548" s="37">
        <v>45709</v>
      </c>
      <c r="K548" s="22" t="s">
        <v>35</v>
      </c>
      <c r="L548" s="28">
        <v>2677.79</v>
      </c>
      <c r="M548" s="86">
        <v>4.8</v>
      </c>
      <c r="N548" s="41">
        <v>30</v>
      </c>
      <c r="O548" s="23">
        <v>0</v>
      </c>
      <c r="P548" s="23">
        <v>0</v>
      </c>
      <c r="Q548" s="23">
        <v>44</v>
      </c>
      <c r="R548" s="23">
        <f t="shared" si="9"/>
        <v>44</v>
      </c>
      <c r="S548" s="22">
        <v>4</v>
      </c>
      <c r="T548" s="20" t="s">
        <v>472</v>
      </c>
    </row>
    <row r="549" spans="1:20" ht="23.25" customHeight="1" x14ac:dyDescent="0.25">
      <c r="A549" s="21" t="s">
        <v>2242</v>
      </c>
      <c r="B549" s="24">
        <v>2025</v>
      </c>
      <c r="C549" s="92" t="s">
        <v>21</v>
      </c>
      <c r="D549" s="24" t="s">
        <v>2243</v>
      </c>
      <c r="E549" s="30" t="s">
        <v>2244</v>
      </c>
      <c r="F549" s="31" t="s">
        <v>62</v>
      </c>
      <c r="G549" s="21" t="s">
        <v>72</v>
      </c>
      <c r="H549" s="38" t="s">
        <v>2245</v>
      </c>
      <c r="I549" s="39">
        <v>45712</v>
      </c>
      <c r="J549" s="39">
        <v>45716</v>
      </c>
      <c r="K549" s="24" t="s">
        <v>35</v>
      </c>
      <c r="L549" s="26">
        <v>12813.06</v>
      </c>
      <c r="M549" s="87">
        <v>4.7</v>
      </c>
      <c r="N549" s="40">
        <v>40</v>
      </c>
      <c r="O549" s="25">
        <v>7</v>
      </c>
      <c r="P549" s="25">
        <v>42</v>
      </c>
      <c r="Q549" s="25">
        <v>0</v>
      </c>
      <c r="R549" s="25">
        <f t="shared" si="9"/>
        <v>49</v>
      </c>
      <c r="S549" s="24">
        <v>20</v>
      </c>
      <c r="T549" s="21" t="s">
        <v>74</v>
      </c>
    </row>
    <row r="550" spans="1:20" ht="23.25" customHeight="1" x14ac:dyDescent="0.25">
      <c r="A550" s="20" t="s">
        <v>2246</v>
      </c>
      <c r="B550" s="22">
        <v>2025</v>
      </c>
      <c r="C550" s="90" t="s">
        <v>21</v>
      </c>
      <c r="D550" s="22" t="s">
        <v>2247</v>
      </c>
      <c r="E550" s="27" t="s">
        <v>2248</v>
      </c>
      <c r="F550" s="29" t="s">
        <v>23</v>
      </c>
      <c r="G550" s="20" t="s">
        <v>38</v>
      </c>
      <c r="H550" s="36" t="s">
        <v>2249</v>
      </c>
      <c r="I550" s="37">
        <v>45726</v>
      </c>
      <c r="J550" s="37">
        <v>45728</v>
      </c>
      <c r="K550" s="22" t="s">
        <v>26</v>
      </c>
      <c r="L550" s="28">
        <v>4800</v>
      </c>
      <c r="M550" s="86">
        <v>4.8</v>
      </c>
      <c r="N550" s="41">
        <v>20</v>
      </c>
      <c r="O550" s="23">
        <v>16</v>
      </c>
      <c r="P550" s="23">
        <v>0</v>
      </c>
      <c r="Q550" s="23">
        <v>0</v>
      </c>
      <c r="R550" s="23">
        <f t="shared" si="9"/>
        <v>16</v>
      </c>
      <c r="S550" s="22">
        <v>16</v>
      </c>
      <c r="T550" s="20" t="s">
        <v>2250</v>
      </c>
    </row>
    <row r="551" spans="1:20" ht="23.25" customHeight="1" x14ac:dyDescent="0.25">
      <c r="A551" s="21" t="s">
        <v>2251</v>
      </c>
      <c r="B551" s="24">
        <v>2025</v>
      </c>
      <c r="C551" s="92" t="s">
        <v>21</v>
      </c>
      <c r="D551" s="24" t="s">
        <v>2252</v>
      </c>
      <c r="E551" s="30" t="s">
        <v>2253</v>
      </c>
      <c r="F551" s="31" t="s">
        <v>23</v>
      </c>
      <c r="G551" s="21" t="s">
        <v>24</v>
      </c>
      <c r="H551" s="76" t="s">
        <v>2254</v>
      </c>
      <c r="I551" s="39">
        <v>45727</v>
      </c>
      <c r="J551" s="39">
        <v>45751</v>
      </c>
      <c r="K551" s="24" t="s">
        <v>26</v>
      </c>
      <c r="L551" s="26">
        <v>32000</v>
      </c>
      <c r="M551" s="87">
        <v>4.7</v>
      </c>
      <c r="N551" s="40">
        <v>30</v>
      </c>
      <c r="O551" s="25">
        <v>27</v>
      </c>
      <c r="P551" s="25">
        <v>0</v>
      </c>
      <c r="Q551" s="25">
        <v>0</v>
      </c>
      <c r="R551" s="25">
        <f t="shared" si="9"/>
        <v>27</v>
      </c>
      <c r="S551" s="24">
        <v>40</v>
      </c>
      <c r="T551" s="21" t="s">
        <v>2255</v>
      </c>
    </row>
    <row r="552" spans="1:20" ht="23.25" customHeight="1" x14ac:dyDescent="0.25">
      <c r="A552" s="20" t="s">
        <v>2256</v>
      </c>
      <c r="B552" s="22">
        <v>2025</v>
      </c>
      <c r="C552" s="90" t="s">
        <v>21</v>
      </c>
      <c r="D552" s="22" t="s">
        <v>2257</v>
      </c>
      <c r="E552" s="27" t="s">
        <v>2258</v>
      </c>
      <c r="F552" s="29" t="s">
        <v>81</v>
      </c>
      <c r="G552" s="20" t="s">
        <v>72</v>
      </c>
      <c r="H552" s="36" t="s">
        <v>2259</v>
      </c>
      <c r="I552" s="37">
        <v>45727</v>
      </c>
      <c r="J552" s="37">
        <v>45727</v>
      </c>
      <c r="K552" s="22" t="s">
        <v>220</v>
      </c>
      <c r="L552" s="28">
        <v>0</v>
      </c>
      <c r="M552" s="86">
        <v>5</v>
      </c>
      <c r="N552" s="41">
        <v>170</v>
      </c>
      <c r="O552" s="23">
        <v>29</v>
      </c>
      <c r="P552" s="23">
        <v>25</v>
      </c>
      <c r="Q552" s="23">
        <v>60</v>
      </c>
      <c r="R552" s="23">
        <f t="shared" si="9"/>
        <v>114</v>
      </c>
      <c r="S552" s="22">
        <v>2</v>
      </c>
      <c r="T552" s="20" t="s">
        <v>472</v>
      </c>
    </row>
    <row r="553" spans="1:20" ht="23.25" customHeight="1" x14ac:dyDescent="0.25">
      <c r="A553" s="21" t="s">
        <v>2260</v>
      </c>
      <c r="B553" s="24">
        <v>2025</v>
      </c>
      <c r="C553" s="90" t="s">
        <v>21</v>
      </c>
      <c r="D553" s="24" t="s">
        <v>2235</v>
      </c>
      <c r="E553" s="30" t="s">
        <v>2261</v>
      </c>
      <c r="F553" s="31" t="s">
        <v>62</v>
      </c>
      <c r="G553" s="21" t="s">
        <v>72</v>
      </c>
      <c r="H553" s="21" t="s">
        <v>2262</v>
      </c>
      <c r="I553" s="39">
        <v>45729</v>
      </c>
      <c r="J553" s="39">
        <v>45730</v>
      </c>
      <c r="K553" s="24" t="s">
        <v>35</v>
      </c>
      <c r="L553" s="26">
        <v>4533.88</v>
      </c>
      <c r="M553" s="87">
        <v>4.8</v>
      </c>
      <c r="N553" s="40">
        <v>25</v>
      </c>
      <c r="O553" s="25">
        <v>11</v>
      </c>
      <c r="P553" s="25">
        <v>12</v>
      </c>
      <c r="Q553" s="25">
        <v>1</v>
      </c>
      <c r="R553" s="25">
        <f t="shared" si="9"/>
        <v>24</v>
      </c>
      <c r="S553" s="24">
        <v>8</v>
      </c>
      <c r="T553" s="21" t="s">
        <v>2014</v>
      </c>
    </row>
    <row r="554" spans="1:20" ht="23.25" customHeight="1" x14ac:dyDescent="0.25">
      <c r="A554" s="20" t="s">
        <v>2263</v>
      </c>
      <c r="B554" s="22">
        <v>2025</v>
      </c>
      <c r="C554" s="92" t="s">
        <v>21</v>
      </c>
      <c r="D554" s="22" t="s">
        <v>2264</v>
      </c>
      <c r="E554" s="27" t="s">
        <v>2265</v>
      </c>
      <c r="F554" s="29" t="s">
        <v>23</v>
      </c>
      <c r="G554" s="20" t="s">
        <v>33</v>
      </c>
      <c r="H554" s="20" t="s">
        <v>2266</v>
      </c>
      <c r="I554" s="37">
        <v>45733</v>
      </c>
      <c r="J554" s="37">
        <v>45737</v>
      </c>
      <c r="K554" s="22" t="s">
        <v>35</v>
      </c>
      <c r="L554" s="28">
        <v>12813.06</v>
      </c>
      <c r="M554" s="86">
        <v>4.8</v>
      </c>
      <c r="N554" s="41">
        <v>20</v>
      </c>
      <c r="O554" s="23">
        <v>21</v>
      </c>
      <c r="P554" s="23">
        <v>0</v>
      </c>
      <c r="Q554" s="23">
        <v>0</v>
      </c>
      <c r="R554" s="23">
        <f t="shared" si="9"/>
        <v>21</v>
      </c>
      <c r="S554" s="22">
        <v>20</v>
      </c>
      <c r="T554" s="20" t="s">
        <v>211</v>
      </c>
    </row>
    <row r="555" spans="1:20" ht="23.25" customHeight="1" x14ac:dyDescent="0.25">
      <c r="A555" s="21" t="s">
        <v>2267</v>
      </c>
      <c r="B555" s="24">
        <v>2025</v>
      </c>
      <c r="C555" s="92" t="s">
        <v>21</v>
      </c>
      <c r="D555" s="24" t="s">
        <v>2268</v>
      </c>
      <c r="E555" s="30" t="s">
        <v>2269</v>
      </c>
      <c r="F555" s="31" t="s">
        <v>81</v>
      </c>
      <c r="G555" s="21" t="s">
        <v>72</v>
      </c>
      <c r="H555" s="38" t="s">
        <v>2270</v>
      </c>
      <c r="I555" s="39">
        <v>45733</v>
      </c>
      <c r="J555" s="39">
        <v>45737</v>
      </c>
      <c r="K555" s="24" t="s">
        <v>220</v>
      </c>
      <c r="L555" s="26">
        <f>4708.23+830.87</f>
        <v>5539.0999999999995</v>
      </c>
      <c r="M555" s="87">
        <v>4.8</v>
      </c>
      <c r="N555" s="40">
        <v>30</v>
      </c>
      <c r="O555" s="25">
        <v>0</v>
      </c>
      <c r="P555" s="25">
        <v>0</v>
      </c>
      <c r="Q555" s="25">
        <v>38</v>
      </c>
      <c r="R555" s="25">
        <f t="shared" si="9"/>
        <v>38</v>
      </c>
      <c r="S555" s="24">
        <v>12</v>
      </c>
      <c r="T555" s="21" t="s">
        <v>2159</v>
      </c>
    </row>
    <row r="556" spans="1:20" ht="23.25" customHeight="1" x14ac:dyDescent="0.25">
      <c r="A556" s="20" t="s">
        <v>2271</v>
      </c>
      <c r="B556" s="22">
        <v>2025</v>
      </c>
      <c r="C556" s="90" t="s">
        <v>21</v>
      </c>
      <c r="D556" s="22"/>
      <c r="E556" s="27" t="s">
        <v>2272</v>
      </c>
      <c r="F556" s="29" t="s">
        <v>81</v>
      </c>
      <c r="G556" s="20" t="s">
        <v>72</v>
      </c>
      <c r="H556" s="36" t="s">
        <v>2273</v>
      </c>
      <c r="I556" s="37">
        <v>45736</v>
      </c>
      <c r="J556" s="37">
        <v>45737</v>
      </c>
      <c r="K556" s="22" t="s">
        <v>26</v>
      </c>
      <c r="L556" s="28">
        <v>0</v>
      </c>
      <c r="M556" s="86">
        <v>4.9000000000000004</v>
      </c>
      <c r="N556" s="41">
        <v>170</v>
      </c>
      <c r="O556" s="23">
        <v>0</v>
      </c>
      <c r="P556" s="23">
        <v>0</v>
      </c>
      <c r="Q556" s="23">
        <v>97</v>
      </c>
      <c r="R556" s="23">
        <f t="shared" si="9"/>
        <v>97</v>
      </c>
      <c r="S556" s="22">
        <v>16</v>
      </c>
      <c r="T556" s="20" t="s">
        <v>2274</v>
      </c>
    </row>
    <row r="557" spans="1:20" ht="23.25" customHeight="1" x14ac:dyDescent="0.25">
      <c r="A557" s="21" t="s">
        <v>2275</v>
      </c>
      <c r="B557" s="24">
        <v>2025</v>
      </c>
      <c r="C557" s="90" t="s">
        <v>21</v>
      </c>
      <c r="D557" s="24" t="s">
        <v>2276</v>
      </c>
      <c r="E557" s="30" t="s">
        <v>2277</v>
      </c>
      <c r="F557" s="31" t="s">
        <v>81</v>
      </c>
      <c r="G557" s="21" t="s">
        <v>72</v>
      </c>
      <c r="H557" s="38" t="s">
        <v>2278</v>
      </c>
      <c r="I557" s="39">
        <v>45740</v>
      </c>
      <c r="J557" s="39">
        <v>45744</v>
      </c>
      <c r="K557" s="24" t="s">
        <v>220</v>
      </c>
      <c r="L557" s="26">
        <f>4708.23+830.87</f>
        <v>5539.0999999999995</v>
      </c>
      <c r="M557" s="87">
        <v>4.7</v>
      </c>
      <c r="N557" s="40">
        <v>30</v>
      </c>
      <c r="O557" s="25">
        <v>0</v>
      </c>
      <c r="P557" s="25">
        <v>0</v>
      </c>
      <c r="Q557" s="25">
        <v>38</v>
      </c>
      <c r="R557" s="25">
        <f t="shared" si="9"/>
        <v>38</v>
      </c>
      <c r="S557" s="24">
        <v>12</v>
      </c>
      <c r="T557" s="21" t="s">
        <v>2159</v>
      </c>
    </row>
    <row r="558" spans="1:20" ht="23.25" customHeight="1" x14ac:dyDescent="0.25">
      <c r="A558" s="20" t="s">
        <v>2279</v>
      </c>
      <c r="B558" s="22">
        <v>2025</v>
      </c>
      <c r="C558" s="92" t="s">
        <v>21</v>
      </c>
      <c r="D558" s="22" t="s">
        <v>2280</v>
      </c>
      <c r="E558" s="27" t="s">
        <v>2281</v>
      </c>
      <c r="F558" s="29" t="s">
        <v>23</v>
      </c>
      <c r="G558" s="20" t="s">
        <v>364</v>
      </c>
      <c r="H558" s="36" t="s">
        <v>2282</v>
      </c>
      <c r="I558" s="37">
        <v>45743</v>
      </c>
      <c r="J558" s="37">
        <v>45744</v>
      </c>
      <c r="K558" s="22" t="s">
        <v>35</v>
      </c>
      <c r="L558" s="28">
        <v>0</v>
      </c>
      <c r="M558" s="86">
        <v>5</v>
      </c>
      <c r="N558" s="41">
        <v>12</v>
      </c>
      <c r="O558" s="23">
        <v>8</v>
      </c>
      <c r="P558" s="23">
        <v>0</v>
      </c>
      <c r="Q558" s="23">
        <v>0</v>
      </c>
      <c r="R558" s="23">
        <f t="shared" si="9"/>
        <v>8</v>
      </c>
      <c r="S558" s="22">
        <v>8</v>
      </c>
      <c r="T558" s="20" t="s">
        <v>472</v>
      </c>
    </row>
    <row r="559" spans="1:20" ht="23.25" customHeight="1" x14ac:dyDescent="0.25">
      <c r="A559" s="21" t="s">
        <v>2283</v>
      </c>
      <c r="B559" s="24">
        <v>2025</v>
      </c>
      <c r="C559" s="92" t="s">
        <v>21</v>
      </c>
      <c r="D559" s="24" t="s">
        <v>2196</v>
      </c>
      <c r="E559" s="30" t="s">
        <v>1332</v>
      </c>
      <c r="F559" s="31" t="s">
        <v>62</v>
      </c>
      <c r="G559" s="21" t="s">
        <v>72</v>
      </c>
      <c r="H559" s="38" t="s">
        <v>2284</v>
      </c>
      <c r="I559" s="39">
        <v>45747</v>
      </c>
      <c r="J559" s="39">
        <v>45751</v>
      </c>
      <c r="K559" s="24" t="s">
        <v>35</v>
      </c>
      <c r="L559" s="26">
        <v>12813.06</v>
      </c>
      <c r="M559" s="87">
        <v>4.5999999999999996</v>
      </c>
      <c r="N559" s="40">
        <v>20</v>
      </c>
      <c r="O559" s="25">
        <v>1</v>
      </c>
      <c r="P559" s="25">
        <v>22</v>
      </c>
      <c r="Q559" s="25">
        <v>0</v>
      </c>
      <c r="R559" s="25">
        <f t="shared" si="9"/>
        <v>23</v>
      </c>
      <c r="S559" s="24">
        <v>20</v>
      </c>
      <c r="T559" s="21" t="s">
        <v>74</v>
      </c>
    </row>
    <row r="560" spans="1:20" ht="23.25" customHeight="1" x14ac:dyDescent="0.25">
      <c r="A560" s="20" t="s">
        <v>2285</v>
      </c>
      <c r="B560" s="22">
        <v>2025</v>
      </c>
      <c r="C560" s="92" t="s">
        <v>21</v>
      </c>
      <c r="D560" s="22" t="s">
        <v>2286</v>
      </c>
      <c r="E560" s="27" t="s">
        <v>2287</v>
      </c>
      <c r="F560" s="29" t="s">
        <v>23</v>
      </c>
      <c r="G560" s="20" t="s">
        <v>24</v>
      </c>
      <c r="H560" s="36" t="s">
        <v>2288</v>
      </c>
      <c r="I560" s="37">
        <v>45748</v>
      </c>
      <c r="J560" s="37">
        <v>45758</v>
      </c>
      <c r="K560" s="22" t="s">
        <v>35</v>
      </c>
      <c r="L560" s="28">
        <v>13374.14</v>
      </c>
      <c r="M560" s="86">
        <v>4.8</v>
      </c>
      <c r="N560" s="41">
        <v>20</v>
      </c>
      <c r="O560" s="23">
        <v>20</v>
      </c>
      <c r="P560" s="23">
        <v>0</v>
      </c>
      <c r="Q560" s="23">
        <v>0</v>
      </c>
      <c r="R560" s="23">
        <f t="shared" si="9"/>
        <v>20</v>
      </c>
      <c r="S560" s="22">
        <v>16</v>
      </c>
      <c r="T560" s="20" t="s">
        <v>2289</v>
      </c>
    </row>
    <row r="561" spans="1:20" ht="23.25" customHeight="1" x14ac:dyDescent="0.25">
      <c r="A561" s="21" t="s">
        <v>2290</v>
      </c>
      <c r="B561" s="24">
        <v>2025</v>
      </c>
      <c r="C561" s="90" t="s">
        <v>21</v>
      </c>
      <c r="D561" s="24" t="s">
        <v>2291</v>
      </c>
      <c r="E561" s="30" t="s">
        <v>2292</v>
      </c>
      <c r="F561" s="31" t="s">
        <v>23</v>
      </c>
      <c r="G561" s="21" t="s">
        <v>38</v>
      </c>
      <c r="H561" s="38" t="s">
        <v>2293</v>
      </c>
      <c r="I561" s="39">
        <v>45748</v>
      </c>
      <c r="J561" s="39">
        <v>45870</v>
      </c>
      <c r="K561" s="24" t="s">
        <v>26</v>
      </c>
      <c r="L561" s="26">
        <v>40716</v>
      </c>
      <c r="M561" s="87">
        <v>5</v>
      </c>
      <c r="N561" s="40">
        <v>13</v>
      </c>
      <c r="O561" s="25">
        <v>13</v>
      </c>
      <c r="P561" s="25">
        <v>0</v>
      </c>
      <c r="Q561" s="25">
        <v>0</v>
      </c>
      <c r="R561" s="25">
        <f t="shared" si="9"/>
        <v>13</v>
      </c>
      <c r="S561" s="24">
        <v>16</v>
      </c>
      <c r="T561" s="21" t="s">
        <v>2294</v>
      </c>
    </row>
    <row r="562" spans="1:20" ht="23.25" customHeight="1" x14ac:dyDescent="0.25">
      <c r="A562" s="20" t="s">
        <v>2295</v>
      </c>
      <c r="B562" s="22">
        <v>2025</v>
      </c>
      <c r="C562" s="90" t="s">
        <v>21</v>
      </c>
      <c r="D562" s="22" t="s">
        <v>2296</v>
      </c>
      <c r="E562" s="27" t="s">
        <v>2297</v>
      </c>
      <c r="F562" s="29" t="s">
        <v>62</v>
      </c>
      <c r="G562" s="20" t="s">
        <v>72</v>
      </c>
      <c r="H562" s="36" t="s">
        <v>2298</v>
      </c>
      <c r="I562" s="37">
        <v>45750</v>
      </c>
      <c r="J562" s="37">
        <v>45751</v>
      </c>
      <c r="K562" s="22" t="s">
        <v>220</v>
      </c>
      <c r="L562" s="28">
        <v>0</v>
      </c>
      <c r="M562" s="86">
        <v>4.9000000000000004</v>
      </c>
      <c r="N562" s="41">
        <v>170</v>
      </c>
      <c r="O562" s="23">
        <v>20</v>
      </c>
      <c r="P562" s="23">
        <v>151</v>
      </c>
      <c r="Q562" s="23">
        <v>79</v>
      </c>
      <c r="R562" s="23">
        <f t="shared" si="9"/>
        <v>250</v>
      </c>
      <c r="S562" s="22">
        <v>12</v>
      </c>
      <c r="T562" s="20" t="s">
        <v>472</v>
      </c>
    </row>
    <row r="563" spans="1:20" ht="23.25" customHeight="1" x14ac:dyDescent="0.25">
      <c r="A563" s="21" t="s">
        <v>2299</v>
      </c>
      <c r="B563" s="24">
        <v>2025</v>
      </c>
      <c r="C563" s="90" t="s">
        <v>21</v>
      </c>
      <c r="D563" s="24" t="s">
        <v>2300</v>
      </c>
      <c r="E563" s="30" t="s">
        <v>2156</v>
      </c>
      <c r="F563" s="31" t="s">
        <v>62</v>
      </c>
      <c r="G563" s="21" t="s">
        <v>72</v>
      </c>
      <c r="H563" s="38" t="s">
        <v>2301</v>
      </c>
      <c r="I563" s="39">
        <v>45754</v>
      </c>
      <c r="J563" s="39">
        <v>45757</v>
      </c>
      <c r="K563" s="24" t="s">
        <v>35</v>
      </c>
      <c r="L563" s="26">
        <v>9067.76</v>
      </c>
      <c r="M563" s="87">
        <v>5</v>
      </c>
      <c r="N563" s="40">
        <v>30</v>
      </c>
      <c r="O563" s="25">
        <v>0</v>
      </c>
      <c r="P563" s="25">
        <v>32</v>
      </c>
      <c r="Q563" s="25">
        <v>0</v>
      </c>
      <c r="R563" s="25">
        <f t="shared" si="9"/>
        <v>32</v>
      </c>
      <c r="S563" s="24">
        <v>16</v>
      </c>
      <c r="T563" s="21" t="s">
        <v>710</v>
      </c>
    </row>
    <row r="564" spans="1:20" ht="23.25" customHeight="1" x14ac:dyDescent="0.25">
      <c r="A564" s="20" t="s">
        <v>2302</v>
      </c>
      <c r="B564" s="22">
        <v>2025</v>
      </c>
      <c r="C564" s="90" t="s">
        <v>21</v>
      </c>
      <c r="D564" s="22" t="s">
        <v>2303</v>
      </c>
      <c r="E564" s="27" t="s">
        <v>2304</v>
      </c>
      <c r="F564" s="29" t="s">
        <v>62</v>
      </c>
      <c r="G564" s="20" t="s">
        <v>72</v>
      </c>
      <c r="H564" s="77" t="s">
        <v>2305</v>
      </c>
      <c r="I564" s="37">
        <v>45757</v>
      </c>
      <c r="J564" s="37">
        <v>45762</v>
      </c>
      <c r="K564" s="22" t="s">
        <v>26</v>
      </c>
      <c r="L564" s="28">
        <v>10400</v>
      </c>
      <c r="M564" s="86">
        <v>4.9000000000000004</v>
      </c>
      <c r="N564" s="41">
        <v>40</v>
      </c>
      <c r="O564" s="23">
        <v>4</v>
      </c>
      <c r="P564" s="23">
        <v>37</v>
      </c>
      <c r="Q564" s="23">
        <v>0</v>
      </c>
      <c r="R564" s="23">
        <f t="shared" si="9"/>
        <v>41</v>
      </c>
      <c r="S564" s="22">
        <v>16</v>
      </c>
      <c r="T564" s="20" t="s">
        <v>2154</v>
      </c>
    </row>
    <row r="565" spans="1:20" ht="23.25" customHeight="1" x14ac:dyDescent="0.25">
      <c r="A565" s="21" t="s">
        <v>2306</v>
      </c>
      <c r="B565" s="24">
        <v>2025</v>
      </c>
      <c r="C565" s="90" t="s">
        <v>21</v>
      </c>
      <c r="D565" s="24" t="s">
        <v>2307</v>
      </c>
      <c r="E565" s="30" t="s">
        <v>2308</v>
      </c>
      <c r="F565" s="31" t="s">
        <v>23</v>
      </c>
      <c r="G565" s="21" t="s">
        <v>33</v>
      </c>
      <c r="H565" s="38" t="s">
        <v>2309</v>
      </c>
      <c r="I565" s="39">
        <v>45757</v>
      </c>
      <c r="J565" s="39">
        <v>45757</v>
      </c>
      <c r="K565" s="24" t="s">
        <v>26</v>
      </c>
      <c r="L565" s="26">
        <v>0</v>
      </c>
      <c r="M565" s="87">
        <v>4.5999999999999996</v>
      </c>
      <c r="N565" s="40">
        <v>75</v>
      </c>
      <c r="O565" s="25">
        <v>75</v>
      </c>
      <c r="P565" s="25">
        <v>0</v>
      </c>
      <c r="Q565" s="25">
        <v>0</v>
      </c>
      <c r="R565" s="25">
        <f t="shared" si="9"/>
        <v>75</v>
      </c>
      <c r="S565" s="24">
        <v>2</v>
      </c>
      <c r="T565" s="21" t="s">
        <v>2310</v>
      </c>
    </row>
    <row r="566" spans="1:20" ht="23.25" customHeight="1" x14ac:dyDescent="0.25">
      <c r="A566" s="20" t="s">
        <v>2311</v>
      </c>
      <c r="B566" s="22">
        <v>2025</v>
      </c>
      <c r="C566" s="92" t="s">
        <v>21</v>
      </c>
      <c r="D566" s="22" t="s">
        <v>2312</v>
      </c>
      <c r="E566" s="27" t="s">
        <v>2313</v>
      </c>
      <c r="F566" s="29" t="s">
        <v>62</v>
      </c>
      <c r="G566" s="20" t="s">
        <v>33</v>
      </c>
      <c r="H566" s="36" t="s">
        <v>2314</v>
      </c>
      <c r="I566" s="37">
        <v>45758</v>
      </c>
      <c r="J566" s="37">
        <v>45758</v>
      </c>
      <c r="K566" s="22" t="s">
        <v>26</v>
      </c>
      <c r="L566" s="28">
        <v>0</v>
      </c>
      <c r="M566" s="86"/>
      <c r="N566" s="41">
        <v>150</v>
      </c>
      <c r="O566" s="23">
        <v>0</v>
      </c>
      <c r="P566" s="23">
        <v>100</v>
      </c>
      <c r="Q566" s="23">
        <v>0</v>
      </c>
      <c r="R566" s="23">
        <f t="shared" si="9"/>
        <v>100</v>
      </c>
      <c r="S566" s="22">
        <v>1</v>
      </c>
      <c r="T566" s="20" t="s">
        <v>2315</v>
      </c>
    </row>
    <row r="567" spans="1:20" ht="23.25" customHeight="1" x14ac:dyDescent="0.25">
      <c r="A567" s="21" t="s">
        <v>2316</v>
      </c>
      <c r="B567" s="24">
        <v>2025</v>
      </c>
      <c r="C567" s="90" t="s">
        <v>21</v>
      </c>
      <c r="D567" s="24" t="s">
        <v>2247</v>
      </c>
      <c r="E567" s="30" t="s">
        <v>2317</v>
      </c>
      <c r="F567" s="31" t="s">
        <v>23</v>
      </c>
      <c r="G567" s="21" t="s">
        <v>38</v>
      </c>
      <c r="H567" s="38" t="s">
        <v>2318</v>
      </c>
      <c r="I567" s="39">
        <v>45761</v>
      </c>
      <c r="J567" s="39">
        <v>45762</v>
      </c>
      <c r="K567" s="24" t="s">
        <v>26</v>
      </c>
      <c r="L567" s="26">
        <v>4800</v>
      </c>
      <c r="M567" s="87">
        <v>4.8</v>
      </c>
      <c r="N567" s="40">
        <v>20</v>
      </c>
      <c r="O567" s="25">
        <v>20</v>
      </c>
      <c r="P567" s="25">
        <v>0</v>
      </c>
      <c r="Q567" s="25">
        <v>0</v>
      </c>
      <c r="R567" s="25">
        <f t="shared" si="9"/>
        <v>20</v>
      </c>
      <c r="S567" s="24">
        <v>8</v>
      </c>
      <c r="T567" s="21" t="s">
        <v>2250</v>
      </c>
    </row>
    <row r="568" spans="1:20" ht="23.25" customHeight="1" x14ac:dyDescent="0.25">
      <c r="A568" s="20" t="s">
        <v>2319</v>
      </c>
      <c r="B568" s="22">
        <v>2025</v>
      </c>
      <c r="C568" s="90" t="s">
        <v>21</v>
      </c>
      <c r="D568" s="22" t="s">
        <v>2303</v>
      </c>
      <c r="E568" s="27" t="s">
        <v>2320</v>
      </c>
      <c r="F568" s="29" t="s">
        <v>62</v>
      </c>
      <c r="G568" s="20" t="s">
        <v>72</v>
      </c>
      <c r="H568" s="77" t="s">
        <v>2321</v>
      </c>
      <c r="I568" s="37">
        <v>45769</v>
      </c>
      <c r="J568" s="37">
        <v>45777</v>
      </c>
      <c r="K568" s="22" t="s">
        <v>26</v>
      </c>
      <c r="L568" s="28">
        <v>10400</v>
      </c>
      <c r="M568" s="86">
        <v>4.8</v>
      </c>
      <c r="N568" s="41">
        <v>40</v>
      </c>
      <c r="O568" s="23">
        <v>6</v>
      </c>
      <c r="P568" s="23">
        <v>34</v>
      </c>
      <c r="Q568" s="23">
        <v>0</v>
      </c>
      <c r="R568" s="23">
        <f t="shared" si="9"/>
        <v>40</v>
      </c>
      <c r="S568" s="22">
        <v>16</v>
      </c>
      <c r="T568" s="20" t="s">
        <v>2154</v>
      </c>
    </row>
    <row r="569" spans="1:20" ht="23.25" customHeight="1" x14ac:dyDescent="0.25">
      <c r="A569" s="21" t="s">
        <v>2322</v>
      </c>
      <c r="B569" s="24">
        <v>2025</v>
      </c>
      <c r="C569" s="90" t="s">
        <v>21</v>
      </c>
      <c r="D569" s="24" t="s">
        <v>2323</v>
      </c>
      <c r="E569" s="30" t="s">
        <v>2324</v>
      </c>
      <c r="F569" s="31" t="s">
        <v>62</v>
      </c>
      <c r="G569" s="21" t="s">
        <v>72</v>
      </c>
      <c r="H569" s="38" t="s">
        <v>2325</v>
      </c>
      <c r="I569" s="39">
        <v>45770</v>
      </c>
      <c r="J569" s="39">
        <v>45772</v>
      </c>
      <c r="K569" s="24" t="s">
        <v>35</v>
      </c>
      <c r="L569" s="26">
        <v>6800.82</v>
      </c>
      <c r="M569" s="87">
        <v>4.7</v>
      </c>
      <c r="N569" s="40">
        <v>30</v>
      </c>
      <c r="O569" s="25">
        <v>1</v>
      </c>
      <c r="P569" s="25">
        <v>47</v>
      </c>
      <c r="Q569" s="25">
        <v>0</v>
      </c>
      <c r="R569" s="25">
        <f t="shared" si="9"/>
        <v>48</v>
      </c>
      <c r="S569" s="24">
        <v>12</v>
      </c>
      <c r="T569" s="21" t="s">
        <v>1055</v>
      </c>
    </row>
    <row r="570" spans="1:20" ht="23.25" customHeight="1" x14ac:dyDescent="0.25">
      <c r="A570" s="20" t="s">
        <v>2326</v>
      </c>
      <c r="B570" s="22">
        <v>2025</v>
      </c>
      <c r="C570" s="92" t="s">
        <v>21</v>
      </c>
      <c r="D570" s="22" t="s">
        <v>2327</v>
      </c>
      <c r="E570" s="27" t="s">
        <v>2328</v>
      </c>
      <c r="F570" s="29" t="s">
        <v>23</v>
      </c>
      <c r="G570" s="20" t="s">
        <v>38</v>
      </c>
      <c r="H570" s="36" t="s">
        <v>2329</v>
      </c>
      <c r="I570" s="37">
        <v>45771</v>
      </c>
      <c r="J570" s="37">
        <v>45777</v>
      </c>
      <c r="K570" s="22" t="s">
        <v>35</v>
      </c>
      <c r="L570" s="28">
        <v>15277.08</v>
      </c>
      <c r="M570" s="86">
        <v>4.84</v>
      </c>
      <c r="N570" s="41">
        <v>20</v>
      </c>
      <c r="O570" s="23">
        <v>16</v>
      </c>
      <c r="P570" s="23">
        <v>0</v>
      </c>
      <c r="Q570" s="23">
        <v>0</v>
      </c>
      <c r="R570" s="23">
        <f t="shared" si="9"/>
        <v>16</v>
      </c>
      <c r="S570" s="22">
        <v>20</v>
      </c>
      <c r="T570" s="20" t="s">
        <v>1785</v>
      </c>
    </row>
    <row r="571" spans="1:20" ht="23.25" customHeight="1" x14ac:dyDescent="0.25">
      <c r="A571" s="21" t="s">
        <v>2330</v>
      </c>
      <c r="B571" s="24">
        <v>2025</v>
      </c>
      <c r="C571" s="90" t="s">
        <v>21</v>
      </c>
      <c r="D571" s="24" t="s">
        <v>2331</v>
      </c>
      <c r="E571" s="30" t="s">
        <v>2332</v>
      </c>
      <c r="F571" s="31" t="s">
        <v>23</v>
      </c>
      <c r="G571" s="46" t="s">
        <v>199</v>
      </c>
      <c r="H571" s="38" t="s">
        <v>2333</v>
      </c>
      <c r="I571" s="39">
        <v>45772</v>
      </c>
      <c r="J571" s="39">
        <v>45772</v>
      </c>
      <c r="K571" s="24" t="s">
        <v>35</v>
      </c>
      <c r="L571" s="26"/>
      <c r="M571" s="87">
        <v>5</v>
      </c>
      <c r="N571" s="40">
        <v>170</v>
      </c>
      <c r="O571" s="25">
        <v>170</v>
      </c>
      <c r="P571" s="25">
        <v>0</v>
      </c>
      <c r="Q571" s="25">
        <v>0</v>
      </c>
      <c r="R571" s="25">
        <f t="shared" si="9"/>
        <v>170</v>
      </c>
      <c r="S571" s="24">
        <v>2</v>
      </c>
      <c r="T571" s="20" t="s">
        <v>2334</v>
      </c>
    </row>
    <row r="572" spans="1:20" ht="23.25" customHeight="1" x14ac:dyDescent="0.25">
      <c r="A572" s="20" t="s">
        <v>2335</v>
      </c>
      <c r="B572" s="22">
        <v>2025</v>
      </c>
      <c r="C572" s="90" t="s">
        <v>21</v>
      </c>
      <c r="D572" s="22" t="s">
        <v>2336</v>
      </c>
      <c r="E572" s="27" t="s">
        <v>2337</v>
      </c>
      <c r="F572" s="29" t="s">
        <v>23</v>
      </c>
      <c r="G572" s="54" t="s">
        <v>199</v>
      </c>
      <c r="H572" s="36" t="s">
        <v>2338</v>
      </c>
      <c r="I572" s="37">
        <v>45775</v>
      </c>
      <c r="J572" s="37">
        <v>45775</v>
      </c>
      <c r="K572" s="22" t="s">
        <v>35</v>
      </c>
      <c r="L572" s="28"/>
      <c r="M572" s="86">
        <v>4.9000000000000004</v>
      </c>
      <c r="N572" s="41">
        <v>80</v>
      </c>
      <c r="O572" s="23">
        <v>80</v>
      </c>
      <c r="P572" s="23">
        <v>0</v>
      </c>
      <c r="Q572" s="23">
        <v>0</v>
      </c>
      <c r="R572" s="23">
        <f t="shared" si="9"/>
        <v>80</v>
      </c>
      <c r="S572" s="22">
        <v>1</v>
      </c>
      <c r="T572" s="20"/>
    </row>
    <row r="573" spans="1:20" ht="23.25" customHeight="1" x14ac:dyDescent="0.25">
      <c r="A573" s="21" t="s">
        <v>2339</v>
      </c>
      <c r="B573" s="24">
        <v>2025</v>
      </c>
      <c r="C573" s="90" t="s">
        <v>21</v>
      </c>
      <c r="D573" s="47" t="s">
        <v>2340</v>
      </c>
      <c r="E573" s="30" t="s">
        <v>1723</v>
      </c>
      <c r="F573" s="31" t="s">
        <v>62</v>
      </c>
      <c r="G573" s="21" t="s">
        <v>72</v>
      </c>
      <c r="H573" s="38" t="s">
        <v>2341</v>
      </c>
      <c r="I573" s="39">
        <v>45776</v>
      </c>
      <c r="J573" s="39">
        <v>45776</v>
      </c>
      <c r="K573" s="24" t="s">
        <v>26</v>
      </c>
      <c r="L573" s="26">
        <v>8000</v>
      </c>
      <c r="M573" s="87">
        <v>4.9000000000000004</v>
      </c>
      <c r="N573" s="40">
        <v>170</v>
      </c>
      <c r="O573" s="25">
        <v>27</v>
      </c>
      <c r="P573" s="25">
        <v>131</v>
      </c>
      <c r="Q573" s="25">
        <v>18</v>
      </c>
      <c r="R573" s="25">
        <f t="shared" si="9"/>
        <v>176</v>
      </c>
      <c r="S573" s="24">
        <v>4</v>
      </c>
      <c r="T573" s="21" t="s">
        <v>472</v>
      </c>
    </row>
    <row r="574" spans="1:20" ht="24.75" customHeight="1" x14ac:dyDescent="0.25">
      <c r="A574" s="20" t="s">
        <v>2342</v>
      </c>
      <c r="B574" s="22">
        <v>2025</v>
      </c>
      <c r="C574" s="92" t="s">
        <v>21</v>
      </c>
      <c r="D574" s="22" t="s">
        <v>2343</v>
      </c>
      <c r="E574" s="27" t="s">
        <v>2344</v>
      </c>
      <c r="F574" s="29" t="s">
        <v>23</v>
      </c>
      <c r="G574" s="20" t="s">
        <v>457</v>
      </c>
      <c r="H574" s="36" t="s">
        <v>2345</v>
      </c>
      <c r="I574" s="37">
        <v>45778</v>
      </c>
      <c r="J574" s="37">
        <v>45778</v>
      </c>
      <c r="K574" s="22" t="s">
        <v>26</v>
      </c>
      <c r="L574" s="28">
        <v>12000</v>
      </c>
      <c r="M574" s="86"/>
      <c r="N574" s="41"/>
      <c r="O574" s="23">
        <v>0</v>
      </c>
      <c r="P574" s="23">
        <v>0</v>
      </c>
      <c r="Q574" s="23">
        <v>0</v>
      </c>
      <c r="R574" s="23">
        <f t="shared" si="9"/>
        <v>0</v>
      </c>
      <c r="S574" s="22"/>
      <c r="T574" s="20" t="s">
        <v>966</v>
      </c>
    </row>
    <row r="575" spans="1:20" ht="23.25" customHeight="1" x14ac:dyDescent="0.25">
      <c r="A575" s="21" t="s">
        <v>2346</v>
      </c>
      <c r="B575" s="24">
        <v>2025</v>
      </c>
      <c r="C575" s="90" t="s">
        <v>21</v>
      </c>
      <c r="D575" s="24" t="s">
        <v>2243</v>
      </c>
      <c r="E575" s="30" t="s">
        <v>2347</v>
      </c>
      <c r="F575" s="31" t="s">
        <v>62</v>
      </c>
      <c r="G575" s="21" t="s">
        <v>72</v>
      </c>
      <c r="H575" s="38" t="s">
        <v>2348</v>
      </c>
      <c r="I575" s="39">
        <v>45782</v>
      </c>
      <c r="J575" s="39">
        <v>45786</v>
      </c>
      <c r="K575" s="24" t="s">
        <v>35</v>
      </c>
      <c r="L575" s="26">
        <v>12813.06</v>
      </c>
      <c r="M575" s="87">
        <v>4.7</v>
      </c>
      <c r="N575" s="40">
        <v>40</v>
      </c>
      <c r="O575" s="25">
        <v>6</v>
      </c>
      <c r="P575" s="25">
        <v>38</v>
      </c>
      <c r="Q575" s="25">
        <v>0</v>
      </c>
      <c r="R575" s="25">
        <f t="shared" si="9"/>
        <v>44</v>
      </c>
      <c r="S575" s="24">
        <v>20</v>
      </c>
      <c r="T575" s="21" t="s">
        <v>74</v>
      </c>
    </row>
    <row r="576" spans="1:20" ht="23.25" customHeight="1" x14ac:dyDescent="0.25">
      <c r="A576" s="20" t="s">
        <v>2349</v>
      </c>
      <c r="B576" s="22">
        <v>2025</v>
      </c>
      <c r="C576" s="90" t="s">
        <v>21</v>
      </c>
      <c r="D576" s="22" t="s">
        <v>2350</v>
      </c>
      <c r="E576" s="27" t="s">
        <v>2351</v>
      </c>
      <c r="F576" s="29" t="s">
        <v>81</v>
      </c>
      <c r="G576" s="20" t="s">
        <v>72</v>
      </c>
      <c r="H576" s="36" t="s">
        <v>2352</v>
      </c>
      <c r="I576" s="37">
        <v>45789</v>
      </c>
      <c r="J576" s="37">
        <v>45793</v>
      </c>
      <c r="K576" s="22" t="s">
        <v>35</v>
      </c>
      <c r="L576" s="28">
        <f>4708.23+830.87</f>
        <v>5539.0999999999995</v>
      </c>
      <c r="M576" s="86">
        <v>4.7</v>
      </c>
      <c r="N576" s="41">
        <v>30</v>
      </c>
      <c r="O576" s="23">
        <v>0</v>
      </c>
      <c r="P576" s="23">
        <v>8</v>
      </c>
      <c r="Q576" s="23">
        <v>33</v>
      </c>
      <c r="R576" s="23">
        <f t="shared" si="9"/>
        <v>41</v>
      </c>
      <c r="S576" s="22">
        <v>12</v>
      </c>
      <c r="T576" s="20" t="s">
        <v>2159</v>
      </c>
    </row>
    <row r="577" spans="1:20" ht="23.25" customHeight="1" x14ac:dyDescent="0.25">
      <c r="A577" s="21" t="s">
        <v>2353</v>
      </c>
      <c r="B577" s="24">
        <v>2025</v>
      </c>
      <c r="C577" s="90" t="s">
        <v>21</v>
      </c>
      <c r="D577" s="24" t="s">
        <v>2354</v>
      </c>
      <c r="E577" s="30" t="s">
        <v>2355</v>
      </c>
      <c r="F577" s="31" t="s">
        <v>23</v>
      </c>
      <c r="G577" s="46" t="s">
        <v>199</v>
      </c>
      <c r="H577" s="38" t="s">
        <v>2356</v>
      </c>
      <c r="I577" s="39">
        <v>45797</v>
      </c>
      <c r="J577" s="39">
        <v>45797</v>
      </c>
      <c r="K577" s="24" t="s">
        <v>35</v>
      </c>
      <c r="L577" s="26"/>
      <c r="M577" s="87">
        <v>5</v>
      </c>
      <c r="N577" s="40">
        <v>170</v>
      </c>
      <c r="O577" s="25">
        <v>170</v>
      </c>
      <c r="P577" s="25">
        <v>0</v>
      </c>
      <c r="Q577" s="25">
        <v>0</v>
      </c>
      <c r="R577" s="25">
        <f t="shared" si="9"/>
        <v>170</v>
      </c>
      <c r="S577" s="24">
        <v>2</v>
      </c>
      <c r="T577" s="21" t="s">
        <v>2357</v>
      </c>
    </row>
    <row r="578" spans="1:20" ht="23.25" customHeight="1" x14ac:dyDescent="0.25">
      <c r="A578" s="20" t="s">
        <v>2358</v>
      </c>
      <c r="B578" s="22">
        <v>2025</v>
      </c>
      <c r="C578" s="90" t="s">
        <v>21</v>
      </c>
      <c r="D578" s="22" t="s">
        <v>2359</v>
      </c>
      <c r="E578" s="27" t="s">
        <v>2360</v>
      </c>
      <c r="F578" s="29" t="s">
        <v>81</v>
      </c>
      <c r="G578" s="20" t="s">
        <v>72</v>
      </c>
      <c r="H578" s="36" t="s">
        <v>2361</v>
      </c>
      <c r="I578" s="37">
        <v>45799</v>
      </c>
      <c r="J578" s="37">
        <v>45799</v>
      </c>
      <c r="K578" s="22" t="s">
        <v>35</v>
      </c>
      <c r="L578" s="28"/>
      <c r="M578" s="86"/>
      <c r="N578" s="41">
        <v>40</v>
      </c>
      <c r="O578" s="23">
        <v>0</v>
      </c>
      <c r="P578" s="23">
        <v>0</v>
      </c>
      <c r="Q578" s="23">
        <v>40</v>
      </c>
      <c r="R578" s="23">
        <f t="shared" si="9"/>
        <v>40</v>
      </c>
      <c r="S578" s="22">
        <v>3</v>
      </c>
      <c r="T578" s="43" t="s">
        <v>2362</v>
      </c>
    </row>
    <row r="579" spans="1:20" ht="23.25" customHeight="1" x14ac:dyDescent="0.25">
      <c r="A579" s="21" t="s">
        <v>2363</v>
      </c>
      <c r="B579" s="24">
        <v>2025</v>
      </c>
      <c r="C579" s="90" t="s">
        <v>21</v>
      </c>
      <c r="D579" s="24" t="s">
        <v>2359</v>
      </c>
      <c r="E579" s="30" t="s">
        <v>2364</v>
      </c>
      <c r="F579" s="31" t="s">
        <v>81</v>
      </c>
      <c r="G579" s="21" t="s">
        <v>72</v>
      </c>
      <c r="H579" s="76" t="s">
        <v>2365</v>
      </c>
      <c r="I579" s="39">
        <v>45800</v>
      </c>
      <c r="J579" s="39">
        <v>45800</v>
      </c>
      <c r="K579" s="24" t="s">
        <v>35</v>
      </c>
      <c r="L579" s="26"/>
      <c r="M579" s="87"/>
      <c r="N579" s="40">
        <v>40</v>
      </c>
      <c r="O579" s="25">
        <v>0</v>
      </c>
      <c r="P579" s="25">
        <v>0</v>
      </c>
      <c r="Q579" s="25">
        <v>40</v>
      </c>
      <c r="R579" s="25">
        <f t="shared" si="9"/>
        <v>40</v>
      </c>
      <c r="S579" s="24">
        <v>3</v>
      </c>
      <c r="T579" s="44" t="s">
        <v>2362</v>
      </c>
    </row>
    <row r="580" spans="1:20" ht="23.25" customHeight="1" x14ac:dyDescent="0.25">
      <c r="A580" s="20" t="s">
        <v>2366</v>
      </c>
      <c r="B580" s="22">
        <v>2025</v>
      </c>
      <c r="C580" s="90" t="s">
        <v>21</v>
      </c>
      <c r="D580" s="22" t="s">
        <v>2367</v>
      </c>
      <c r="E580" s="27" t="s">
        <v>2368</v>
      </c>
      <c r="F580" s="29" t="s">
        <v>23</v>
      </c>
      <c r="G580" s="20" t="s">
        <v>38</v>
      </c>
      <c r="H580" s="36" t="s">
        <v>2369</v>
      </c>
      <c r="I580" s="37">
        <v>45803</v>
      </c>
      <c r="J580" s="37">
        <v>45807</v>
      </c>
      <c r="K580" s="22" t="s">
        <v>35</v>
      </c>
      <c r="L580" s="28">
        <v>6800.66</v>
      </c>
      <c r="M580" s="86">
        <v>4.9000000000000004</v>
      </c>
      <c r="N580" s="41">
        <v>15</v>
      </c>
      <c r="O580" s="23">
        <v>18</v>
      </c>
      <c r="P580" s="23">
        <v>0</v>
      </c>
      <c r="Q580" s="23">
        <v>0</v>
      </c>
      <c r="R580" s="23">
        <f t="shared" si="9"/>
        <v>18</v>
      </c>
      <c r="S580" s="22">
        <v>12</v>
      </c>
      <c r="T580" s="20" t="s">
        <v>2370</v>
      </c>
    </row>
    <row r="581" spans="1:20" ht="23.25" customHeight="1" x14ac:dyDescent="0.25">
      <c r="A581" s="21" t="s">
        <v>2371</v>
      </c>
      <c r="B581" s="24">
        <v>2025</v>
      </c>
      <c r="C581" s="92" t="s">
        <v>21</v>
      </c>
      <c r="D581" s="24" t="s">
        <v>2372</v>
      </c>
      <c r="E581" s="30" t="s">
        <v>2373</v>
      </c>
      <c r="F581" s="31" t="s">
        <v>23</v>
      </c>
      <c r="G581" s="46" t="s">
        <v>68</v>
      </c>
      <c r="H581" s="38" t="s">
        <v>2374</v>
      </c>
      <c r="I581" s="39">
        <v>45804</v>
      </c>
      <c r="J581" s="39">
        <v>45807</v>
      </c>
      <c r="K581" s="24" t="s">
        <v>35</v>
      </c>
      <c r="L581" s="26">
        <v>6800.82</v>
      </c>
      <c r="M581" s="87">
        <v>4.9000000000000004</v>
      </c>
      <c r="N581" s="40">
        <v>30</v>
      </c>
      <c r="O581" s="25">
        <v>18</v>
      </c>
      <c r="P581" s="25">
        <v>0</v>
      </c>
      <c r="Q581" s="25">
        <v>0</v>
      </c>
      <c r="R581" s="25">
        <f t="shared" si="9"/>
        <v>18</v>
      </c>
      <c r="S581" s="24">
        <v>12</v>
      </c>
      <c r="T581" s="21" t="s">
        <v>2102</v>
      </c>
    </row>
    <row r="582" spans="1:20" ht="23.25" customHeight="1" x14ac:dyDescent="0.25">
      <c r="A582" s="20" t="s">
        <v>2375</v>
      </c>
      <c r="B582" s="22">
        <v>2025</v>
      </c>
      <c r="C582" s="90" t="s">
        <v>21</v>
      </c>
      <c r="D582" s="22" t="s">
        <v>2376</v>
      </c>
      <c r="E582" s="27" t="s">
        <v>2377</v>
      </c>
      <c r="F582" s="29" t="s">
        <v>23</v>
      </c>
      <c r="G582" s="20" t="s">
        <v>457</v>
      </c>
      <c r="H582" s="36" t="s">
        <v>2378</v>
      </c>
      <c r="I582" s="37">
        <v>45805</v>
      </c>
      <c r="J582" s="37">
        <v>45811</v>
      </c>
      <c r="K582" s="22" t="s">
        <v>26</v>
      </c>
      <c r="L582" s="28">
        <v>19200</v>
      </c>
      <c r="M582" s="86">
        <v>4.7</v>
      </c>
      <c r="N582" s="41">
        <v>30</v>
      </c>
      <c r="O582" s="23">
        <v>38</v>
      </c>
      <c r="P582" s="23">
        <v>0</v>
      </c>
      <c r="Q582" s="23">
        <v>0</v>
      </c>
      <c r="R582" s="23">
        <f t="shared" si="9"/>
        <v>38</v>
      </c>
      <c r="S582" s="22">
        <v>16</v>
      </c>
      <c r="T582" s="20" t="s">
        <v>966</v>
      </c>
    </row>
    <row r="583" spans="1:20" ht="23.25" customHeight="1" x14ac:dyDescent="0.25">
      <c r="A583" s="21" t="s">
        <v>2379</v>
      </c>
      <c r="B583" s="24">
        <v>2025</v>
      </c>
      <c r="C583" s="92" t="s">
        <v>21</v>
      </c>
      <c r="D583" s="24" t="s">
        <v>2223</v>
      </c>
      <c r="E583" s="30" t="s">
        <v>2380</v>
      </c>
      <c r="F583" s="31" t="s">
        <v>23</v>
      </c>
      <c r="G583" s="21" t="s">
        <v>1729</v>
      </c>
      <c r="H583" s="38" t="s">
        <v>2381</v>
      </c>
      <c r="I583" s="39">
        <v>45809</v>
      </c>
      <c r="J583" s="39">
        <v>45809</v>
      </c>
      <c r="K583" s="24" t="s">
        <v>26</v>
      </c>
      <c r="L583" s="26">
        <v>13673.78</v>
      </c>
      <c r="M583" s="87">
        <v>4.8</v>
      </c>
      <c r="N583" s="40">
        <v>15</v>
      </c>
      <c r="O583" s="25">
        <v>15</v>
      </c>
      <c r="P583" s="25">
        <v>0</v>
      </c>
      <c r="Q583" s="25">
        <v>0</v>
      </c>
      <c r="R583" s="25">
        <f t="shared" si="9"/>
        <v>15</v>
      </c>
      <c r="S583" s="24">
        <v>12</v>
      </c>
      <c r="T583" s="21" t="s">
        <v>1752</v>
      </c>
    </row>
    <row r="584" spans="1:20" ht="36" customHeight="1" x14ac:dyDescent="0.25">
      <c r="A584" s="20" t="s">
        <v>2382</v>
      </c>
      <c r="B584" s="22">
        <v>2025</v>
      </c>
      <c r="C584" s="90" t="s">
        <v>21</v>
      </c>
      <c r="D584" s="22" t="s">
        <v>2383</v>
      </c>
      <c r="E584" s="27" t="s">
        <v>2384</v>
      </c>
      <c r="F584" s="29" t="s">
        <v>81</v>
      </c>
      <c r="G584" s="20" t="s">
        <v>72</v>
      </c>
      <c r="H584" s="36" t="s">
        <v>2385</v>
      </c>
      <c r="I584" s="37">
        <v>45810</v>
      </c>
      <c r="J584" s="37">
        <v>45814</v>
      </c>
      <c r="K584" s="22" t="s">
        <v>35</v>
      </c>
      <c r="L584" s="28">
        <v>5539.1</v>
      </c>
      <c r="M584" s="86">
        <v>4.8</v>
      </c>
      <c r="N584" s="41">
        <v>30</v>
      </c>
      <c r="O584" s="23">
        <v>0</v>
      </c>
      <c r="P584" s="23">
        <v>0</v>
      </c>
      <c r="Q584" s="23">
        <v>31</v>
      </c>
      <c r="R584" s="23">
        <f t="shared" si="9"/>
        <v>31</v>
      </c>
      <c r="S584" s="22">
        <v>12</v>
      </c>
      <c r="T584" s="20" t="s">
        <v>2159</v>
      </c>
    </row>
    <row r="585" spans="1:20" ht="23.25" customHeight="1" x14ac:dyDescent="0.25">
      <c r="A585" s="21" t="s">
        <v>2386</v>
      </c>
      <c r="B585" s="24">
        <v>2025</v>
      </c>
      <c r="C585" s="92" t="s">
        <v>21</v>
      </c>
      <c r="D585" s="24" t="s">
        <v>2387</v>
      </c>
      <c r="E585" s="30" t="s">
        <v>2388</v>
      </c>
      <c r="F585" s="31" t="s">
        <v>23</v>
      </c>
      <c r="G585" s="46" t="s">
        <v>68</v>
      </c>
      <c r="H585" s="38" t="s">
        <v>2389</v>
      </c>
      <c r="I585" s="39">
        <v>45810</v>
      </c>
      <c r="J585" s="39">
        <v>45820</v>
      </c>
      <c r="K585" s="24" t="s">
        <v>26</v>
      </c>
      <c r="L585" s="26">
        <v>45000</v>
      </c>
      <c r="M585" s="87">
        <v>4.84</v>
      </c>
      <c r="N585" s="40">
        <v>30</v>
      </c>
      <c r="O585" s="25">
        <v>21</v>
      </c>
      <c r="P585" s="25">
        <v>4</v>
      </c>
      <c r="Q585" s="25">
        <v>4</v>
      </c>
      <c r="R585" s="25">
        <f t="shared" si="9"/>
        <v>29</v>
      </c>
      <c r="S585" s="24">
        <v>25</v>
      </c>
      <c r="T585" s="21" t="s">
        <v>69</v>
      </c>
    </row>
    <row r="586" spans="1:20" ht="23.25" customHeight="1" x14ac:dyDescent="0.25">
      <c r="A586" s="20" t="s">
        <v>2390</v>
      </c>
      <c r="B586" s="22">
        <v>2025</v>
      </c>
      <c r="C586" s="90" t="s">
        <v>21</v>
      </c>
      <c r="D586" s="22" t="s">
        <v>2391</v>
      </c>
      <c r="E586" s="27" t="s">
        <v>2046</v>
      </c>
      <c r="F586" s="29" t="s">
        <v>81</v>
      </c>
      <c r="G586" s="20" t="s">
        <v>72</v>
      </c>
      <c r="H586" s="36" t="s">
        <v>2392</v>
      </c>
      <c r="I586" s="37">
        <v>45812</v>
      </c>
      <c r="J586" s="37">
        <v>45812</v>
      </c>
      <c r="K586" s="22" t="s">
        <v>35</v>
      </c>
      <c r="L586" s="28">
        <v>1700.2</v>
      </c>
      <c r="M586" s="86">
        <v>5</v>
      </c>
      <c r="N586" s="41">
        <v>33</v>
      </c>
      <c r="O586" s="23">
        <v>0</v>
      </c>
      <c r="P586" s="23">
        <v>0</v>
      </c>
      <c r="Q586" s="23">
        <v>30</v>
      </c>
      <c r="R586" s="23">
        <f t="shared" ref="R586:R640" si="10">SUM(O586:Q586)</f>
        <v>30</v>
      </c>
      <c r="S586" s="22">
        <v>3</v>
      </c>
      <c r="T586" s="264" t="s">
        <v>2048</v>
      </c>
    </row>
    <row r="587" spans="1:20" ht="23.25" customHeight="1" x14ac:dyDescent="0.25">
      <c r="A587" s="21" t="s">
        <v>2393</v>
      </c>
      <c r="B587" s="24">
        <v>2025</v>
      </c>
      <c r="C587" s="92" t="s">
        <v>21</v>
      </c>
      <c r="D587" s="24" t="s">
        <v>2327</v>
      </c>
      <c r="E587" s="30" t="s">
        <v>2394</v>
      </c>
      <c r="F587" s="31" t="s">
        <v>23</v>
      </c>
      <c r="G587" s="21" t="s">
        <v>38</v>
      </c>
      <c r="H587" s="38" t="s">
        <v>2395</v>
      </c>
      <c r="I587" s="39">
        <v>45817</v>
      </c>
      <c r="J587" s="39">
        <v>45825</v>
      </c>
      <c r="K587" s="24" t="s">
        <v>35</v>
      </c>
      <c r="L587" s="26">
        <v>15277.08</v>
      </c>
      <c r="M587" s="87">
        <v>4.9000000000000004</v>
      </c>
      <c r="N587" s="40">
        <v>20</v>
      </c>
      <c r="O587" s="25">
        <v>14</v>
      </c>
      <c r="P587" s="25">
        <v>0</v>
      </c>
      <c r="Q587" s="25">
        <v>0</v>
      </c>
      <c r="R587" s="25">
        <f t="shared" si="10"/>
        <v>14</v>
      </c>
      <c r="S587" s="24">
        <v>20</v>
      </c>
      <c r="T587" s="265" t="s">
        <v>1785</v>
      </c>
    </row>
    <row r="588" spans="1:20" ht="23.25" customHeight="1" x14ac:dyDescent="0.25">
      <c r="A588" s="20" t="s">
        <v>2396</v>
      </c>
      <c r="B588" s="22">
        <v>2025</v>
      </c>
      <c r="C588" s="92" t="s">
        <v>21</v>
      </c>
      <c r="D588" s="22" t="s">
        <v>2397</v>
      </c>
      <c r="E588" s="27" t="s">
        <v>2398</v>
      </c>
      <c r="F588" s="29" t="s">
        <v>23</v>
      </c>
      <c r="G588" s="20" t="s">
        <v>364</v>
      </c>
      <c r="H588" s="36" t="s">
        <v>2399</v>
      </c>
      <c r="I588" s="37">
        <v>45817</v>
      </c>
      <c r="J588" s="37">
        <v>45818</v>
      </c>
      <c r="K588" s="22" t="s">
        <v>26</v>
      </c>
      <c r="L588" s="28">
        <v>3040.75</v>
      </c>
      <c r="M588" s="86">
        <v>4.8</v>
      </c>
      <c r="N588" s="41">
        <v>30</v>
      </c>
      <c r="O588" s="23">
        <v>0</v>
      </c>
      <c r="P588" s="23">
        <v>0</v>
      </c>
      <c r="Q588" s="23">
        <v>27</v>
      </c>
      <c r="R588" s="23">
        <f t="shared" si="10"/>
        <v>27</v>
      </c>
      <c r="S588" s="22">
        <v>8</v>
      </c>
      <c r="T588" s="264" t="s">
        <v>2400</v>
      </c>
    </row>
    <row r="589" spans="1:20" ht="23.25" customHeight="1" x14ac:dyDescent="0.25">
      <c r="A589" s="21" t="s">
        <v>2401</v>
      </c>
      <c r="B589" s="24">
        <v>2025</v>
      </c>
      <c r="C589" s="92" t="s">
        <v>21</v>
      </c>
      <c r="D589" s="24" t="s">
        <v>2402</v>
      </c>
      <c r="E589" s="30" t="s">
        <v>2403</v>
      </c>
      <c r="F589" s="31" t="s">
        <v>23</v>
      </c>
      <c r="G589" s="46" t="s">
        <v>68</v>
      </c>
      <c r="H589" s="38" t="s">
        <v>2404</v>
      </c>
      <c r="I589" s="39">
        <v>45820</v>
      </c>
      <c r="J589" s="39">
        <v>45821</v>
      </c>
      <c r="K589" s="24" t="s">
        <v>35</v>
      </c>
      <c r="L589" s="26">
        <v>5125.22</v>
      </c>
      <c r="M589" s="87">
        <v>4.9000000000000004</v>
      </c>
      <c r="N589" s="40">
        <v>20</v>
      </c>
      <c r="O589" s="25">
        <v>14</v>
      </c>
      <c r="P589" s="25">
        <v>0</v>
      </c>
      <c r="Q589" s="25">
        <v>0</v>
      </c>
      <c r="R589" s="25">
        <f t="shared" si="10"/>
        <v>14</v>
      </c>
      <c r="S589" s="24">
        <v>8</v>
      </c>
      <c r="T589" s="265" t="s">
        <v>211</v>
      </c>
    </row>
    <row r="590" spans="1:20" ht="23.25" customHeight="1" x14ac:dyDescent="0.25">
      <c r="A590" s="20" t="s">
        <v>2405</v>
      </c>
      <c r="B590" s="22">
        <v>2025</v>
      </c>
      <c r="C590" s="92" t="s">
        <v>21</v>
      </c>
      <c r="D590" s="22" t="s">
        <v>2406</v>
      </c>
      <c r="E590" s="27" t="s">
        <v>2407</v>
      </c>
      <c r="F590" s="29" t="s">
        <v>23</v>
      </c>
      <c r="G590" s="54" t="s">
        <v>68</v>
      </c>
      <c r="H590" s="36" t="s">
        <v>2408</v>
      </c>
      <c r="I590" s="37">
        <v>45824</v>
      </c>
      <c r="J590" s="37">
        <v>45826</v>
      </c>
      <c r="K590" s="22" t="s">
        <v>26</v>
      </c>
      <c r="L590" s="28">
        <v>15025</v>
      </c>
      <c r="M590" s="86">
        <v>4.5999999999999996</v>
      </c>
      <c r="N590" s="41">
        <v>30</v>
      </c>
      <c r="O590" s="23">
        <v>33</v>
      </c>
      <c r="P590" s="23">
        <v>0</v>
      </c>
      <c r="Q590" s="23">
        <v>0</v>
      </c>
      <c r="R590" s="23">
        <f t="shared" si="10"/>
        <v>33</v>
      </c>
      <c r="S590" s="22">
        <v>15</v>
      </c>
      <c r="T590" s="20" t="s">
        <v>2409</v>
      </c>
    </row>
    <row r="591" spans="1:20" ht="23.25" customHeight="1" x14ac:dyDescent="0.25">
      <c r="A591" s="21" t="s">
        <v>2410</v>
      </c>
      <c r="B591" s="24">
        <v>2025</v>
      </c>
      <c r="C591" s="90" t="s">
        <v>21</v>
      </c>
      <c r="D591" s="24" t="s">
        <v>2411</v>
      </c>
      <c r="E591" s="30" t="s">
        <v>2412</v>
      </c>
      <c r="F591" s="31" t="s">
        <v>81</v>
      </c>
      <c r="G591" s="21" t="s">
        <v>72</v>
      </c>
      <c r="H591" s="38" t="s">
        <v>2413</v>
      </c>
      <c r="I591" s="39">
        <v>45831</v>
      </c>
      <c r="J591" s="39">
        <v>45835</v>
      </c>
      <c r="K591" s="24" t="s">
        <v>35</v>
      </c>
      <c r="L591" s="26">
        <v>11334.44</v>
      </c>
      <c r="M591" s="87">
        <v>4.8</v>
      </c>
      <c r="N591" s="40">
        <v>40</v>
      </c>
      <c r="O591" s="25">
        <v>0</v>
      </c>
      <c r="P591" s="25">
        <v>0</v>
      </c>
      <c r="Q591" s="25">
        <v>42</v>
      </c>
      <c r="R591" s="25">
        <f t="shared" si="10"/>
        <v>42</v>
      </c>
      <c r="S591" s="24">
        <v>20</v>
      </c>
      <c r="T591" s="21" t="s">
        <v>418</v>
      </c>
    </row>
    <row r="592" spans="1:20" ht="23.25" customHeight="1" x14ac:dyDescent="0.25">
      <c r="A592" s="20" t="s">
        <v>2414</v>
      </c>
      <c r="B592" s="22">
        <v>2025</v>
      </c>
      <c r="C592" s="92" t="s">
        <v>21</v>
      </c>
      <c r="D592" s="22" t="s">
        <v>2415</v>
      </c>
      <c r="E592" s="27" t="s">
        <v>2416</v>
      </c>
      <c r="F592" s="29" t="s">
        <v>23</v>
      </c>
      <c r="G592" s="20" t="s">
        <v>33</v>
      </c>
      <c r="H592" s="36" t="s">
        <v>2417</v>
      </c>
      <c r="I592" s="37">
        <v>45832</v>
      </c>
      <c r="J592" s="37">
        <v>45834</v>
      </c>
      <c r="K592" s="22" t="s">
        <v>35</v>
      </c>
      <c r="L592" s="28">
        <v>4533.88</v>
      </c>
      <c r="M592" s="86">
        <v>4.8</v>
      </c>
      <c r="N592" s="41">
        <v>20</v>
      </c>
      <c r="O592" s="23">
        <v>22</v>
      </c>
      <c r="P592" s="23">
        <v>0</v>
      </c>
      <c r="Q592" s="23">
        <v>0</v>
      </c>
      <c r="R592" s="23">
        <f t="shared" si="10"/>
        <v>22</v>
      </c>
      <c r="S592" s="22">
        <v>8</v>
      </c>
      <c r="T592" s="20" t="s">
        <v>2418</v>
      </c>
    </row>
    <row r="593" spans="1:20" ht="23.25" customHeight="1" x14ac:dyDescent="0.25">
      <c r="A593" s="21" t="s">
        <v>2419</v>
      </c>
      <c r="B593" s="24">
        <v>2025</v>
      </c>
      <c r="C593" s="90" t="s">
        <v>21</v>
      </c>
      <c r="D593" s="24" t="s">
        <v>2420</v>
      </c>
      <c r="E593" s="30" t="s">
        <v>2421</v>
      </c>
      <c r="F593" s="31" t="s">
        <v>23</v>
      </c>
      <c r="G593" s="21" t="s">
        <v>38</v>
      </c>
      <c r="H593" s="78" t="s">
        <v>2422</v>
      </c>
      <c r="I593" s="39">
        <v>45832</v>
      </c>
      <c r="J593" s="39">
        <v>45841</v>
      </c>
      <c r="K593" s="24" t="s">
        <v>35</v>
      </c>
      <c r="L593" s="26">
        <v>12555.28</v>
      </c>
      <c r="M593" s="87">
        <v>4.9000000000000004</v>
      </c>
      <c r="N593" s="40">
        <v>20</v>
      </c>
      <c r="O593" s="25">
        <v>9</v>
      </c>
      <c r="P593" s="25">
        <v>0</v>
      </c>
      <c r="Q593" s="25">
        <v>0</v>
      </c>
      <c r="R593" s="25">
        <f t="shared" si="10"/>
        <v>9</v>
      </c>
      <c r="S593" s="24">
        <v>16</v>
      </c>
      <c r="T593" s="21" t="s">
        <v>2423</v>
      </c>
    </row>
    <row r="594" spans="1:20" ht="23.25" customHeight="1" x14ac:dyDescent="0.25">
      <c r="A594" s="20" t="s">
        <v>2424</v>
      </c>
      <c r="B594" s="22">
        <v>2025</v>
      </c>
      <c r="C594" s="92" t="s">
        <v>21</v>
      </c>
      <c r="D594" s="22" t="s">
        <v>2425</v>
      </c>
      <c r="E594" s="27" t="s">
        <v>2426</v>
      </c>
      <c r="F594" s="29" t="s">
        <v>62</v>
      </c>
      <c r="G594" s="20" t="s">
        <v>72</v>
      </c>
      <c r="H594" s="36" t="s">
        <v>2427</v>
      </c>
      <c r="I594" s="37">
        <v>45833</v>
      </c>
      <c r="J594" s="37">
        <v>45833</v>
      </c>
      <c r="K594" s="22" t="s">
        <v>35</v>
      </c>
      <c r="L594" s="28">
        <v>0</v>
      </c>
      <c r="M594" s="86">
        <v>5</v>
      </c>
      <c r="N594" s="41">
        <v>20</v>
      </c>
      <c r="O594" s="23">
        <v>0</v>
      </c>
      <c r="P594" s="23">
        <v>20</v>
      </c>
      <c r="Q594" s="23">
        <v>0</v>
      </c>
      <c r="R594" s="23">
        <f t="shared" si="10"/>
        <v>20</v>
      </c>
      <c r="S594" s="22">
        <v>4</v>
      </c>
      <c r="T594" s="20" t="s">
        <v>2428</v>
      </c>
    </row>
    <row r="595" spans="1:20" ht="23.25" customHeight="1" x14ac:dyDescent="0.25">
      <c r="A595" s="21" t="s">
        <v>2429</v>
      </c>
      <c r="B595" s="24">
        <v>2025</v>
      </c>
      <c r="C595" s="90" t="s">
        <v>21</v>
      </c>
      <c r="D595" s="24" t="s">
        <v>2430</v>
      </c>
      <c r="E595" s="30" t="s">
        <v>2431</v>
      </c>
      <c r="F595" s="31" t="s">
        <v>81</v>
      </c>
      <c r="G595" s="21" t="s">
        <v>72</v>
      </c>
      <c r="H595" s="38" t="s">
        <v>2432</v>
      </c>
      <c r="I595" s="39">
        <v>45838</v>
      </c>
      <c r="J595" s="39">
        <v>45842</v>
      </c>
      <c r="K595" s="24" t="s">
        <v>35</v>
      </c>
      <c r="L595" s="26"/>
      <c r="M595" s="87">
        <v>4.8</v>
      </c>
      <c r="N595" s="40">
        <v>25</v>
      </c>
      <c r="O595" s="25">
        <v>0</v>
      </c>
      <c r="P595" s="25">
        <v>0</v>
      </c>
      <c r="Q595" s="25">
        <v>25</v>
      </c>
      <c r="R595" s="25">
        <f t="shared" si="10"/>
        <v>25</v>
      </c>
      <c r="S595" s="24">
        <v>5</v>
      </c>
      <c r="T595" s="21" t="s">
        <v>1023</v>
      </c>
    </row>
    <row r="596" spans="1:20" ht="23.25" customHeight="1" x14ac:dyDescent="0.25">
      <c r="A596" s="20" t="s">
        <v>2433</v>
      </c>
      <c r="B596" s="22">
        <v>2025</v>
      </c>
      <c r="C596" s="91" t="s">
        <v>21</v>
      </c>
      <c r="D596" s="70" t="s">
        <v>2434</v>
      </c>
      <c r="E596" s="65" t="s">
        <v>2186</v>
      </c>
      <c r="F596" s="29" t="s">
        <v>81</v>
      </c>
      <c r="G596" s="67" t="s">
        <v>72</v>
      </c>
      <c r="H596" s="68" t="s">
        <v>2435</v>
      </c>
      <c r="I596" s="69">
        <v>45842</v>
      </c>
      <c r="J596" s="69">
        <v>45842</v>
      </c>
      <c r="K596" s="70" t="s">
        <v>35</v>
      </c>
      <c r="L596" s="71">
        <v>5834.98</v>
      </c>
      <c r="M596" s="89">
        <v>4.87</v>
      </c>
      <c r="N596" s="72">
        <v>30</v>
      </c>
      <c r="O596" s="73">
        <v>0</v>
      </c>
      <c r="P596" s="73">
        <v>0</v>
      </c>
      <c r="Q596" s="73">
        <v>24</v>
      </c>
      <c r="R596" s="73">
        <f t="shared" si="10"/>
        <v>24</v>
      </c>
      <c r="S596" s="70">
        <v>4</v>
      </c>
      <c r="T596" s="79" t="s">
        <v>2436</v>
      </c>
    </row>
    <row r="597" spans="1:20" ht="23.25" customHeight="1" x14ac:dyDescent="0.25">
      <c r="A597" s="21" t="s">
        <v>2437</v>
      </c>
      <c r="B597" s="24">
        <v>2025</v>
      </c>
      <c r="C597" s="91" t="s">
        <v>21</v>
      </c>
      <c r="D597" s="24" t="s">
        <v>2438</v>
      </c>
      <c r="E597" s="30" t="s">
        <v>2439</v>
      </c>
      <c r="F597" s="31" t="s">
        <v>62</v>
      </c>
      <c r="G597" s="21" t="s">
        <v>72</v>
      </c>
      <c r="H597" s="38" t="s">
        <v>2440</v>
      </c>
      <c r="I597" s="39">
        <v>45842</v>
      </c>
      <c r="J597" s="39">
        <v>45904</v>
      </c>
      <c r="K597" s="24" t="s">
        <v>35</v>
      </c>
      <c r="L597" s="26">
        <v>6800.82</v>
      </c>
      <c r="M597" s="87">
        <v>4.7</v>
      </c>
      <c r="N597" s="40">
        <v>30</v>
      </c>
      <c r="O597" s="25">
        <v>0</v>
      </c>
      <c r="P597" s="25">
        <v>46</v>
      </c>
      <c r="Q597" s="25">
        <v>0</v>
      </c>
      <c r="R597" s="25">
        <f t="shared" si="10"/>
        <v>46</v>
      </c>
      <c r="S597" s="24">
        <v>12</v>
      </c>
      <c r="T597" s="21" t="s">
        <v>1472</v>
      </c>
    </row>
    <row r="598" spans="1:20" ht="23.25" customHeight="1" x14ac:dyDescent="0.25">
      <c r="A598" s="20" t="s">
        <v>2441</v>
      </c>
      <c r="B598" s="22">
        <v>2025</v>
      </c>
      <c r="C598" s="93" t="s">
        <v>21</v>
      </c>
      <c r="D598" s="70" t="s">
        <v>2442</v>
      </c>
      <c r="E598" s="65" t="s">
        <v>2443</v>
      </c>
      <c r="F598" s="66" t="s">
        <v>81</v>
      </c>
      <c r="G598" s="67" t="s">
        <v>72</v>
      </c>
      <c r="H598" s="68" t="s">
        <v>2444</v>
      </c>
      <c r="I598" s="69">
        <v>45845</v>
      </c>
      <c r="J598" s="69">
        <v>45849</v>
      </c>
      <c r="K598" s="70" t="s">
        <v>35</v>
      </c>
      <c r="L598" s="71">
        <v>7687.84</v>
      </c>
      <c r="M598" s="89">
        <v>4.9000000000000004</v>
      </c>
      <c r="N598" s="72">
        <v>30</v>
      </c>
      <c r="O598" s="73">
        <v>0</v>
      </c>
      <c r="P598" s="73">
        <v>37</v>
      </c>
      <c r="Q598" s="73">
        <v>0</v>
      </c>
      <c r="R598" s="23">
        <f t="shared" si="10"/>
        <v>37</v>
      </c>
      <c r="S598" s="70">
        <v>12</v>
      </c>
      <c r="T598" s="67" t="s">
        <v>2445</v>
      </c>
    </row>
    <row r="599" spans="1:20" ht="23.25" customHeight="1" x14ac:dyDescent="0.25">
      <c r="A599" s="21" t="s">
        <v>2446</v>
      </c>
      <c r="B599" s="24">
        <v>2025</v>
      </c>
      <c r="C599" s="91" t="s">
        <v>21</v>
      </c>
      <c r="D599" s="64" t="s">
        <v>2447</v>
      </c>
      <c r="E599" s="58" t="s">
        <v>2448</v>
      </c>
      <c r="F599" s="74" t="s">
        <v>23</v>
      </c>
      <c r="G599" s="80" t="s">
        <v>68</v>
      </c>
      <c r="H599" s="59" t="s">
        <v>2449</v>
      </c>
      <c r="I599" s="60">
        <v>45848</v>
      </c>
      <c r="J599" s="60">
        <v>45945</v>
      </c>
      <c r="K599" s="64" t="s">
        <v>26</v>
      </c>
      <c r="L599" s="61"/>
      <c r="M599" s="88">
        <v>4.63</v>
      </c>
      <c r="N599" s="62">
        <v>30</v>
      </c>
      <c r="O599" s="63">
        <v>20</v>
      </c>
      <c r="P599" s="63">
        <v>4</v>
      </c>
      <c r="Q599" s="63">
        <v>0</v>
      </c>
      <c r="R599" s="25">
        <f t="shared" si="10"/>
        <v>24</v>
      </c>
      <c r="S599" s="64">
        <v>20</v>
      </c>
      <c r="T599" s="106" t="s">
        <v>2450</v>
      </c>
    </row>
    <row r="600" spans="1:20" ht="23.25" customHeight="1" x14ac:dyDescent="0.25">
      <c r="A600" s="20" t="s">
        <v>2451</v>
      </c>
      <c r="B600" s="22">
        <v>2025</v>
      </c>
      <c r="C600" s="93" t="s">
        <v>21</v>
      </c>
      <c r="D600" s="70" t="s">
        <v>2452</v>
      </c>
      <c r="E600" s="65" t="s">
        <v>2453</v>
      </c>
      <c r="F600" s="66" t="s">
        <v>62</v>
      </c>
      <c r="G600" s="67" t="s">
        <v>72</v>
      </c>
      <c r="H600" s="262" t="s">
        <v>2454</v>
      </c>
      <c r="I600" s="69">
        <v>45859</v>
      </c>
      <c r="J600" s="69">
        <v>45867</v>
      </c>
      <c r="K600" s="70" t="s">
        <v>35</v>
      </c>
      <c r="L600" s="71">
        <v>12555.28</v>
      </c>
      <c r="M600" s="89">
        <v>4.8</v>
      </c>
      <c r="N600" s="72">
        <v>30</v>
      </c>
      <c r="O600" s="73">
        <v>0</v>
      </c>
      <c r="P600" s="73">
        <v>30</v>
      </c>
      <c r="Q600" s="73">
        <v>0</v>
      </c>
      <c r="R600" s="23">
        <f t="shared" si="10"/>
        <v>30</v>
      </c>
      <c r="S600" s="70">
        <v>16</v>
      </c>
      <c r="T600" s="67" t="s">
        <v>2455</v>
      </c>
    </row>
    <row r="601" spans="1:20" ht="23.25" customHeight="1" x14ac:dyDescent="0.25">
      <c r="A601" s="21" t="s">
        <v>2456</v>
      </c>
      <c r="B601" s="24">
        <v>2025</v>
      </c>
      <c r="C601" s="93" t="s">
        <v>21</v>
      </c>
      <c r="D601" s="64" t="s">
        <v>2415</v>
      </c>
      <c r="E601" s="58" t="s">
        <v>2457</v>
      </c>
      <c r="F601" s="74" t="s">
        <v>23</v>
      </c>
      <c r="G601" s="45" t="s">
        <v>33</v>
      </c>
      <c r="H601" s="59" t="s">
        <v>2458</v>
      </c>
      <c r="I601" s="60">
        <v>45860</v>
      </c>
      <c r="J601" s="60">
        <v>45862</v>
      </c>
      <c r="K601" s="64" t="s">
        <v>35</v>
      </c>
      <c r="L601" s="61">
        <v>4533.88</v>
      </c>
      <c r="M601" s="88">
        <v>4.87</v>
      </c>
      <c r="N601" s="62">
        <v>20</v>
      </c>
      <c r="O601" s="63">
        <v>21</v>
      </c>
      <c r="P601" s="63">
        <v>0</v>
      </c>
      <c r="Q601" s="63">
        <v>0</v>
      </c>
      <c r="R601" s="25">
        <f t="shared" si="10"/>
        <v>21</v>
      </c>
      <c r="S601" s="64">
        <v>8</v>
      </c>
      <c r="T601" s="45" t="s">
        <v>2418</v>
      </c>
    </row>
    <row r="602" spans="1:20" ht="23.25" customHeight="1" x14ac:dyDescent="0.25">
      <c r="A602" s="20" t="s">
        <v>2459</v>
      </c>
      <c r="B602" s="22">
        <v>2025</v>
      </c>
      <c r="C602" s="93" t="s">
        <v>21</v>
      </c>
      <c r="D602" s="22" t="s">
        <v>2460</v>
      </c>
      <c r="E602" s="27" t="s">
        <v>2461</v>
      </c>
      <c r="F602" s="66" t="s">
        <v>23</v>
      </c>
      <c r="G602" s="79" t="s">
        <v>68</v>
      </c>
      <c r="H602" s="36" t="s">
        <v>2462</v>
      </c>
      <c r="I602" s="37">
        <v>45869</v>
      </c>
      <c r="J602" s="37">
        <v>45870</v>
      </c>
      <c r="K602" s="70" t="s">
        <v>35</v>
      </c>
      <c r="L602" s="28">
        <v>4533.88</v>
      </c>
      <c r="M602" s="86">
        <v>4.8499999999999996</v>
      </c>
      <c r="N602" s="41">
        <v>20</v>
      </c>
      <c r="O602" s="23">
        <v>14</v>
      </c>
      <c r="P602" s="23">
        <v>13</v>
      </c>
      <c r="Q602" s="23">
        <v>0</v>
      </c>
      <c r="R602" s="23">
        <f t="shared" si="10"/>
        <v>27</v>
      </c>
      <c r="S602" s="22">
        <v>8</v>
      </c>
      <c r="T602" s="20" t="s">
        <v>2014</v>
      </c>
    </row>
    <row r="603" spans="1:20" ht="23.25" customHeight="1" x14ac:dyDescent="0.25">
      <c r="A603" s="21" t="s">
        <v>2463</v>
      </c>
      <c r="B603" s="24">
        <v>2025</v>
      </c>
      <c r="C603" s="93" t="s">
        <v>21</v>
      </c>
      <c r="D603" s="24" t="s">
        <v>2464</v>
      </c>
      <c r="E603" s="30" t="s">
        <v>2465</v>
      </c>
      <c r="F603" s="74" t="s">
        <v>23</v>
      </c>
      <c r="G603" s="45" t="s">
        <v>68</v>
      </c>
      <c r="H603" s="76" t="s">
        <v>2466</v>
      </c>
      <c r="I603" s="39">
        <v>45873</v>
      </c>
      <c r="J603" s="39">
        <v>45898</v>
      </c>
      <c r="K603" s="64" t="s">
        <v>35</v>
      </c>
      <c r="L603" s="26"/>
      <c r="M603" s="87">
        <v>4.8600000000000003</v>
      </c>
      <c r="N603" s="40">
        <v>20</v>
      </c>
      <c r="O603" s="25">
        <v>14</v>
      </c>
      <c r="P603" s="25">
        <v>12</v>
      </c>
      <c r="Q603" s="25">
        <v>0</v>
      </c>
      <c r="R603" s="25">
        <f t="shared" si="10"/>
        <v>26</v>
      </c>
      <c r="S603" s="24">
        <v>36</v>
      </c>
      <c r="T603" s="21" t="s">
        <v>571</v>
      </c>
    </row>
    <row r="604" spans="1:20" ht="23.25" customHeight="1" x14ac:dyDescent="0.25">
      <c r="A604" s="20" t="s">
        <v>2467</v>
      </c>
      <c r="B604" s="22">
        <v>2025</v>
      </c>
      <c r="C604" s="93" t="s">
        <v>21</v>
      </c>
      <c r="D604" s="22" t="s">
        <v>2468</v>
      </c>
      <c r="E604" s="27" t="s">
        <v>2469</v>
      </c>
      <c r="F604" s="66" t="s">
        <v>23</v>
      </c>
      <c r="G604" s="67" t="s">
        <v>38</v>
      </c>
      <c r="H604" s="77" t="s">
        <v>2470</v>
      </c>
      <c r="I604" s="37">
        <v>45874</v>
      </c>
      <c r="J604" s="37">
        <v>45904</v>
      </c>
      <c r="K604" s="70" t="s">
        <v>26</v>
      </c>
      <c r="L604" s="28">
        <v>37800</v>
      </c>
      <c r="M604" s="86">
        <v>4.4800000000000004</v>
      </c>
      <c r="N604" s="41">
        <v>30</v>
      </c>
      <c r="O604" s="23">
        <v>28</v>
      </c>
      <c r="P604" s="23">
        <v>0</v>
      </c>
      <c r="Q604" s="23">
        <v>0</v>
      </c>
      <c r="R604" s="23">
        <f t="shared" si="10"/>
        <v>28</v>
      </c>
      <c r="S604" s="22">
        <v>40</v>
      </c>
      <c r="T604" s="20" t="s">
        <v>2471</v>
      </c>
    </row>
    <row r="605" spans="1:20" ht="23.25" customHeight="1" x14ac:dyDescent="0.25">
      <c r="A605" s="21" t="s">
        <v>2472</v>
      </c>
      <c r="B605" s="24">
        <v>2025</v>
      </c>
      <c r="C605" s="92" t="s">
        <v>21</v>
      </c>
      <c r="D605" s="24" t="s">
        <v>2425</v>
      </c>
      <c r="E605" s="30" t="s">
        <v>2473</v>
      </c>
      <c r="F605" s="31" t="s">
        <v>62</v>
      </c>
      <c r="G605" s="21" t="s">
        <v>72</v>
      </c>
      <c r="H605" s="38" t="s">
        <v>2474</v>
      </c>
      <c r="I605" s="39">
        <v>45876</v>
      </c>
      <c r="J605" s="39">
        <v>45876</v>
      </c>
      <c r="K605" s="64" t="s">
        <v>35</v>
      </c>
      <c r="L605" s="26">
        <v>0</v>
      </c>
      <c r="M605" s="87">
        <v>4.8</v>
      </c>
      <c r="N605" s="40">
        <v>20</v>
      </c>
      <c r="O605" s="25">
        <v>0</v>
      </c>
      <c r="P605" s="25">
        <v>20</v>
      </c>
      <c r="Q605" s="25">
        <v>0</v>
      </c>
      <c r="R605" s="25">
        <f t="shared" si="10"/>
        <v>20</v>
      </c>
      <c r="S605" s="24">
        <v>4</v>
      </c>
      <c r="T605" s="21" t="s">
        <v>2475</v>
      </c>
    </row>
    <row r="606" spans="1:20" ht="23.25" customHeight="1" x14ac:dyDescent="0.25">
      <c r="A606" s="20" t="s">
        <v>2476</v>
      </c>
      <c r="B606" s="22">
        <v>2025</v>
      </c>
      <c r="C606" s="92" t="s">
        <v>21</v>
      </c>
      <c r="D606" s="22" t="s">
        <v>2477</v>
      </c>
      <c r="E606" s="27" t="s">
        <v>2478</v>
      </c>
      <c r="F606" s="29" t="s">
        <v>23</v>
      </c>
      <c r="G606" s="54" t="s">
        <v>199</v>
      </c>
      <c r="H606" s="36" t="s">
        <v>2479</v>
      </c>
      <c r="I606" s="37">
        <v>45877</v>
      </c>
      <c r="J606" s="37">
        <v>45877</v>
      </c>
      <c r="K606" s="70" t="s">
        <v>35</v>
      </c>
      <c r="L606" s="28"/>
      <c r="M606" s="86">
        <v>4.9000000000000004</v>
      </c>
      <c r="N606" s="41">
        <v>170</v>
      </c>
      <c r="O606" s="23">
        <v>170</v>
      </c>
      <c r="P606" s="23">
        <v>0</v>
      </c>
      <c r="Q606" s="23">
        <v>0</v>
      </c>
      <c r="R606" s="23">
        <f t="shared" si="10"/>
        <v>170</v>
      </c>
      <c r="S606" s="22">
        <v>2</v>
      </c>
      <c r="T606" s="54" t="s">
        <v>2480</v>
      </c>
    </row>
    <row r="607" spans="1:20" ht="23.25" customHeight="1" x14ac:dyDescent="0.25">
      <c r="A607" s="21" t="s">
        <v>2481</v>
      </c>
      <c r="B607" s="24">
        <v>2025</v>
      </c>
      <c r="C607" s="92" t="s">
        <v>21</v>
      </c>
      <c r="D607" s="24" t="s">
        <v>2477</v>
      </c>
      <c r="E607" s="30" t="s">
        <v>2482</v>
      </c>
      <c r="F607" s="31" t="s">
        <v>23</v>
      </c>
      <c r="G607" s="21" t="s">
        <v>199</v>
      </c>
      <c r="H607" s="81">
        <v>45877</v>
      </c>
      <c r="I607" s="39">
        <v>45877</v>
      </c>
      <c r="J607" s="39">
        <v>45877</v>
      </c>
      <c r="K607" s="24" t="s">
        <v>35</v>
      </c>
      <c r="L607" s="26"/>
      <c r="M607" s="87">
        <v>4.9000000000000004</v>
      </c>
      <c r="N607" s="40">
        <v>170</v>
      </c>
      <c r="O607" s="25">
        <v>170</v>
      </c>
      <c r="P607" s="25">
        <v>0</v>
      </c>
      <c r="Q607" s="25">
        <v>0</v>
      </c>
      <c r="R607" s="25">
        <f t="shared" si="10"/>
        <v>170</v>
      </c>
      <c r="S607" s="24">
        <v>2</v>
      </c>
      <c r="T607" s="46" t="s">
        <v>2483</v>
      </c>
    </row>
    <row r="608" spans="1:20" ht="23.25" customHeight="1" x14ac:dyDescent="0.25">
      <c r="A608" s="20" t="s">
        <v>2484</v>
      </c>
      <c r="B608" s="22">
        <v>2025</v>
      </c>
      <c r="C608" s="92" t="s">
        <v>21</v>
      </c>
      <c r="D608" s="22" t="s">
        <v>2485</v>
      </c>
      <c r="E608" s="27" t="s">
        <v>2486</v>
      </c>
      <c r="F608" s="29" t="s">
        <v>23</v>
      </c>
      <c r="G608" s="54" t="s">
        <v>199</v>
      </c>
      <c r="H608" s="36" t="s">
        <v>2487</v>
      </c>
      <c r="I608" s="37">
        <v>45880</v>
      </c>
      <c r="J608" s="37">
        <v>45884</v>
      </c>
      <c r="K608" s="70" t="s">
        <v>26</v>
      </c>
      <c r="L608" s="28">
        <v>16500</v>
      </c>
      <c r="M608" s="86">
        <v>4.9000000000000004</v>
      </c>
      <c r="N608" s="41">
        <v>20</v>
      </c>
      <c r="O608" s="23">
        <v>19</v>
      </c>
      <c r="P608" s="23">
        <v>0</v>
      </c>
      <c r="Q608" s="23">
        <v>0</v>
      </c>
      <c r="R608" s="23">
        <f t="shared" si="10"/>
        <v>19</v>
      </c>
      <c r="S608" s="22">
        <v>20</v>
      </c>
      <c r="T608" s="20" t="s">
        <v>796</v>
      </c>
    </row>
    <row r="609" spans="1:20" ht="23.25" customHeight="1" x14ac:dyDescent="0.25">
      <c r="A609" s="21" t="s">
        <v>2488</v>
      </c>
      <c r="B609" s="24">
        <v>2025</v>
      </c>
      <c r="C609" s="92" t="s">
        <v>21</v>
      </c>
      <c r="D609" s="24" t="s">
        <v>2489</v>
      </c>
      <c r="E609" s="30" t="s">
        <v>2490</v>
      </c>
      <c r="F609" s="31" t="s">
        <v>23</v>
      </c>
      <c r="G609" s="21" t="s">
        <v>24</v>
      </c>
      <c r="H609" s="38" t="s">
        <v>2491</v>
      </c>
      <c r="I609" s="39">
        <v>45881</v>
      </c>
      <c r="J609" s="39">
        <v>45884</v>
      </c>
      <c r="K609" s="64" t="s">
        <v>35</v>
      </c>
      <c r="L609" s="26">
        <v>10030.61</v>
      </c>
      <c r="M609" s="87">
        <v>4.9000000000000004</v>
      </c>
      <c r="N609" s="40">
        <v>20</v>
      </c>
      <c r="O609" s="25">
        <v>19</v>
      </c>
      <c r="P609" s="25">
        <v>0</v>
      </c>
      <c r="Q609" s="25">
        <v>0</v>
      </c>
      <c r="R609" s="25">
        <f t="shared" si="10"/>
        <v>19</v>
      </c>
      <c r="S609" s="24">
        <v>12</v>
      </c>
      <c r="T609" s="21" t="s">
        <v>2492</v>
      </c>
    </row>
    <row r="610" spans="1:20" ht="23.25" customHeight="1" x14ac:dyDescent="0.25">
      <c r="A610" s="20" t="s">
        <v>2493</v>
      </c>
      <c r="B610" s="22">
        <v>2025</v>
      </c>
      <c r="C610" s="90" t="s">
        <v>21</v>
      </c>
      <c r="D610" s="22" t="s">
        <v>2391</v>
      </c>
      <c r="E610" s="82" t="s">
        <v>2494</v>
      </c>
      <c r="F610" s="29" t="s">
        <v>81</v>
      </c>
      <c r="G610" s="20" t="s">
        <v>72</v>
      </c>
      <c r="H610" s="36" t="s">
        <v>2495</v>
      </c>
      <c r="I610" s="37">
        <v>45881</v>
      </c>
      <c r="J610" s="37">
        <v>45881</v>
      </c>
      <c r="K610" s="22" t="s">
        <v>35</v>
      </c>
      <c r="L610" s="28">
        <v>1700.2</v>
      </c>
      <c r="M610" s="86"/>
      <c r="N610" s="41">
        <v>0</v>
      </c>
      <c r="O610" s="23">
        <v>0</v>
      </c>
      <c r="P610" s="23">
        <v>0</v>
      </c>
      <c r="Q610" s="23">
        <v>31</v>
      </c>
      <c r="R610" s="23">
        <f t="shared" si="10"/>
        <v>31</v>
      </c>
      <c r="S610" s="22">
        <v>3</v>
      </c>
      <c r="T610" s="20" t="s">
        <v>2048</v>
      </c>
    </row>
    <row r="611" spans="1:20" ht="23.25" customHeight="1" x14ac:dyDescent="0.25">
      <c r="A611" s="21" t="s">
        <v>2496</v>
      </c>
      <c r="B611" s="24">
        <v>2025</v>
      </c>
      <c r="C611" s="90" t="s">
        <v>21</v>
      </c>
      <c r="D611" s="24" t="s">
        <v>2497</v>
      </c>
      <c r="E611" s="30" t="s">
        <v>2498</v>
      </c>
      <c r="F611" s="74" t="s">
        <v>23</v>
      </c>
      <c r="G611" s="45" t="s">
        <v>38</v>
      </c>
      <c r="H611" s="38" t="s">
        <v>2499</v>
      </c>
      <c r="I611" s="39">
        <v>45885</v>
      </c>
      <c r="J611" s="39">
        <v>45886</v>
      </c>
      <c r="K611" s="24" t="s">
        <v>26</v>
      </c>
      <c r="L611" s="26">
        <v>43500</v>
      </c>
      <c r="M611" s="87">
        <v>5</v>
      </c>
      <c r="N611" s="40">
        <v>15</v>
      </c>
      <c r="O611" s="25">
        <v>15</v>
      </c>
      <c r="P611" s="25">
        <v>0</v>
      </c>
      <c r="Q611" s="25">
        <v>0</v>
      </c>
      <c r="R611" s="25">
        <f t="shared" si="10"/>
        <v>15</v>
      </c>
      <c r="S611" s="24">
        <v>16</v>
      </c>
      <c r="T611" s="265" t="s">
        <v>2500</v>
      </c>
    </row>
    <row r="612" spans="1:20" ht="23.25" customHeight="1" x14ac:dyDescent="0.25">
      <c r="A612" s="20" t="s">
        <v>2501</v>
      </c>
      <c r="B612" s="22">
        <v>2025</v>
      </c>
      <c r="C612" s="92" t="s">
        <v>21</v>
      </c>
      <c r="D612" s="22" t="s">
        <v>2502</v>
      </c>
      <c r="E612" s="27" t="s">
        <v>2503</v>
      </c>
      <c r="F612" s="83" t="s">
        <v>23</v>
      </c>
      <c r="G612" s="54" t="s">
        <v>199</v>
      </c>
      <c r="H612" s="36" t="s">
        <v>2504</v>
      </c>
      <c r="I612" s="37">
        <v>45887</v>
      </c>
      <c r="J612" s="37">
        <v>45887</v>
      </c>
      <c r="K612" s="22" t="s">
        <v>26</v>
      </c>
      <c r="L612" s="28">
        <v>13081.64</v>
      </c>
      <c r="M612" s="86"/>
      <c r="N612" s="41">
        <v>100</v>
      </c>
      <c r="O612" s="23">
        <v>100</v>
      </c>
      <c r="P612" s="23">
        <v>0</v>
      </c>
      <c r="Q612" s="23">
        <v>0</v>
      </c>
      <c r="R612" s="23">
        <f t="shared" si="10"/>
        <v>100</v>
      </c>
      <c r="S612" s="22">
        <v>1.5</v>
      </c>
      <c r="T612" s="20" t="s">
        <v>2505</v>
      </c>
    </row>
    <row r="613" spans="1:20" ht="23.25" customHeight="1" x14ac:dyDescent="0.25">
      <c r="A613" s="21" t="s">
        <v>2506</v>
      </c>
      <c r="B613" s="24">
        <v>2025</v>
      </c>
      <c r="C613" s="92" t="s">
        <v>21</v>
      </c>
      <c r="D613" s="24" t="s">
        <v>2502</v>
      </c>
      <c r="E613" s="30" t="s">
        <v>2507</v>
      </c>
      <c r="F613" s="31" t="s">
        <v>23</v>
      </c>
      <c r="G613" s="21" t="s">
        <v>199</v>
      </c>
      <c r="H613" s="24" t="s">
        <v>2504</v>
      </c>
      <c r="I613" s="39">
        <v>45887</v>
      </c>
      <c r="J613" s="39">
        <v>45887</v>
      </c>
      <c r="K613" s="24" t="s">
        <v>220</v>
      </c>
      <c r="L613" s="26"/>
      <c r="M613" s="87">
        <v>4.8899999999999997</v>
      </c>
      <c r="N613" s="40">
        <v>114</v>
      </c>
      <c r="O613" s="25">
        <v>114</v>
      </c>
      <c r="P613" s="25">
        <v>0</v>
      </c>
      <c r="Q613" s="25">
        <v>0</v>
      </c>
      <c r="R613" s="25">
        <f t="shared" si="10"/>
        <v>114</v>
      </c>
      <c r="S613" s="24">
        <v>3</v>
      </c>
      <c r="T613" s="46" t="s">
        <v>2508</v>
      </c>
    </row>
    <row r="614" spans="1:20" ht="23.25" customHeight="1" x14ac:dyDescent="0.25">
      <c r="A614" s="20" t="s">
        <v>2509</v>
      </c>
      <c r="B614" s="22">
        <v>2025</v>
      </c>
      <c r="C614" s="92" t="s">
        <v>21</v>
      </c>
      <c r="D614" s="22" t="s">
        <v>2510</v>
      </c>
      <c r="E614" s="27" t="s">
        <v>2511</v>
      </c>
      <c r="F614" s="29" t="s">
        <v>62</v>
      </c>
      <c r="G614" s="20" t="s">
        <v>72</v>
      </c>
      <c r="H614" s="36" t="s">
        <v>2512</v>
      </c>
      <c r="I614" s="37">
        <v>45890</v>
      </c>
      <c r="J614" s="37">
        <v>45891</v>
      </c>
      <c r="K614" s="22" t="s">
        <v>35</v>
      </c>
      <c r="L614" s="28">
        <v>4500</v>
      </c>
      <c r="M614" s="86">
        <v>4.7</v>
      </c>
      <c r="N614" s="41">
        <v>400</v>
      </c>
      <c r="O614" s="23">
        <v>132</v>
      </c>
      <c r="P614" s="23">
        <v>359</v>
      </c>
      <c r="Q614" s="23">
        <v>0</v>
      </c>
      <c r="R614" s="23">
        <f t="shared" si="10"/>
        <v>491</v>
      </c>
      <c r="S614" s="22">
        <v>8</v>
      </c>
      <c r="T614" s="20" t="s">
        <v>472</v>
      </c>
    </row>
    <row r="615" spans="1:20" ht="23.25" customHeight="1" x14ac:dyDescent="0.25">
      <c r="A615" s="21" t="s">
        <v>2513</v>
      </c>
      <c r="B615" s="24">
        <v>2025</v>
      </c>
      <c r="C615" s="92" t="s">
        <v>21</v>
      </c>
      <c r="D615" s="24" t="s">
        <v>2514</v>
      </c>
      <c r="E615" s="75" t="s">
        <v>2515</v>
      </c>
      <c r="F615" s="31" t="s">
        <v>62</v>
      </c>
      <c r="G615" s="21" t="s">
        <v>72</v>
      </c>
      <c r="H615" s="38" t="s">
        <v>2516</v>
      </c>
      <c r="I615" s="39">
        <v>45894</v>
      </c>
      <c r="J615" s="39">
        <v>45895</v>
      </c>
      <c r="K615" s="24" t="s">
        <v>35</v>
      </c>
      <c r="L615" s="26">
        <v>4000</v>
      </c>
      <c r="M615" s="87">
        <v>4.7</v>
      </c>
      <c r="N615" s="40">
        <v>20</v>
      </c>
      <c r="O615" s="25">
        <v>0</v>
      </c>
      <c r="P615" s="25">
        <v>27</v>
      </c>
      <c r="Q615" s="25">
        <v>0</v>
      </c>
      <c r="R615" s="25">
        <f t="shared" si="10"/>
        <v>27</v>
      </c>
      <c r="S615" s="24">
        <v>8</v>
      </c>
      <c r="T615" s="21" t="s">
        <v>1472</v>
      </c>
    </row>
    <row r="616" spans="1:20" ht="23.25" customHeight="1" x14ac:dyDescent="0.25">
      <c r="A616" s="20" t="s">
        <v>2517</v>
      </c>
      <c r="B616" s="22">
        <v>2025</v>
      </c>
      <c r="C616" s="92" t="s">
        <v>21</v>
      </c>
      <c r="D616" s="22" t="s">
        <v>2452</v>
      </c>
      <c r="E616" s="82" t="s">
        <v>2518</v>
      </c>
      <c r="F616" s="29" t="s">
        <v>62</v>
      </c>
      <c r="G616" s="20" t="s">
        <v>72</v>
      </c>
      <c r="H616" s="36" t="s">
        <v>2519</v>
      </c>
      <c r="I616" s="37">
        <v>45894</v>
      </c>
      <c r="J616" s="37">
        <v>45905</v>
      </c>
      <c r="K616" s="22" t="s">
        <v>35</v>
      </c>
      <c r="L616" s="28"/>
      <c r="M616" s="86">
        <v>4.7699999999999996</v>
      </c>
      <c r="N616" s="41">
        <v>30</v>
      </c>
      <c r="O616" s="23">
        <v>0</v>
      </c>
      <c r="P616" s="23">
        <v>63</v>
      </c>
      <c r="Q616" s="23">
        <v>0</v>
      </c>
      <c r="R616" s="23">
        <f t="shared" si="10"/>
        <v>63</v>
      </c>
      <c r="S616" s="22">
        <v>16</v>
      </c>
      <c r="T616" s="104" t="s">
        <v>2455</v>
      </c>
    </row>
    <row r="617" spans="1:20" ht="23.25" customHeight="1" x14ac:dyDescent="0.25">
      <c r="A617" s="21" t="s">
        <v>2520</v>
      </c>
      <c r="B617" s="24">
        <v>2025</v>
      </c>
      <c r="C617" s="92" t="s">
        <v>21</v>
      </c>
      <c r="D617" s="24" t="s">
        <v>2521</v>
      </c>
      <c r="E617" s="30" t="s">
        <v>2522</v>
      </c>
      <c r="F617" s="31" t="s">
        <v>62</v>
      </c>
      <c r="G617" s="21" t="s">
        <v>72</v>
      </c>
      <c r="H617" s="38" t="s">
        <v>2523</v>
      </c>
      <c r="I617" s="39">
        <v>45896</v>
      </c>
      <c r="J617" s="39">
        <v>45896</v>
      </c>
      <c r="K617" s="24" t="s">
        <v>35</v>
      </c>
      <c r="L617" s="26">
        <v>2000</v>
      </c>
      <c r="M617" s="87">
        <v>4.5999999999999996</v>
      </c>
      <c r="N617" s="40">
        <v>50</v>
      </c>
      <c r="O617" s="25">
        <v>0</v>
      </c>
      <c r="P617" s="25">
        <v>42</v>
      </c>
      <c r="Q617" s="25">
        <v>0</v>
      </c>
      <c r="R617" s="25">
        <f t="shared" si="10"/>
        <v>42</v>
      </c>
      <c r="S617" s="24">
        <v>4</v>
      </c>
      <c r="T617" s="21" t="s">
        <v>2524</v>
      </c>
    </row>
    <row r="618" spans="1:20" ht="23.25" customHeight="1" x14ac:dyDescent="0.25">
      <c r="A618" s="20" t="s">
        <v>2525</v>
      </c>
      <c r="B618" s="22">
        <v>2025</v>
      </c>
      <c r="C618" s="90" t="s">
        <v>21</v>
      </c>
      <c r="D618" s="22" t="s">
        <v>2526</v>
      </c>
      <c r="E618" s="27" t="s">
        <v>2527</v>
      </c>
      <c r="F618" s="29" t="s">
        <v>62</v>
      </c>
      <c r="G618" s="20" t="s">
        <v>72</v>
      </c>
      <c r="H618" s="36" t="s">
        <v>2528</v>
      </c>
      <c r="I618" s="37">
        <v>45897</v>
      </c>
      <c r="J618" s="37">
        <v>45897</v>
      </c>
      <c r="K618" s="22" t="s">
        <v>35</v>
      </c>
      <c r="L618" s="28">
        <v>2000</v>
      </c>
      <c r="M618" s="86">
        <v>4.8899999999999997</v>
      </c>
      <c r="N618" s="41">
        <v>27</v>
      </c>
      <c r="O618" s="23">
        <v>8</v>
      </c>
      <c r="P618" s="23">
        <v>19</v>
      </c>
      <c r="Q618" s="23">
        <v>0</v>
      </c>
      <c r="R618" s="23">
        <f t="shared" si="10"/>
        <v>27</v>
      </c>
      <c r="S618" s="22">
        <v>4</v>
      </c>
      <c r="T618" s="104" t="s">
        <v>2529</v>
      </c>
    </row>
    <row r="619" spans="1:20" ht="23.25" customHeight="1" x14ac:dyDescent="0.25">
      <c r="A619" s="21" t="s">
        <v>2530</v>
      </c>
      <c r="B619" s="24">
        <v>2025</v>
      </c>
      <c r="C619" s="92" t="s">
        <v>21</v>
      </c>
      <c r="D619" s="24" t="s">
        <v>2531</v>
      </c>
      <c r="E619" s="30" t="s">
        <v>2532</v>
      </c>
      <c r="F619" s="31" t="s">
        <v>62</v>
      </c>
      <c r="G619" s="21" t="s">
        <v>72</v>
      </c>
      <c r="H619" s="38" t="s">
        <v>2528</v>
      </c>
      <c r="I619" s="39">
        <v>45897</v>
      </c>
      <c r="J619" s="39">
        <v>45897</v>
      </c>
      <c r="K619" s="24" t="s">
        <v>35</v>
      </c>
      <c r="L619" s="26">
        <v>2000</v>
      </c>
      <c r="M619" s="87">
        <v>4.5</v>
      </c>
      <c r="N619" s="40">
        <v>50</v>
      </c>
      <c r="O619" s="25">
        <v>0</v>
      </c>
      <c r="P619" s="25">
        <v>40</v>
      </c>
      <c r="Q619" s="25">
        <v>0</v>
      </c>
      <c r="R619" s="25">
        <f t="shared" si="10"/>
        <v>40</v>
      </c>
      <c r="S619" s="24">
        <v>4</v>
      </c>
      <c r="T619" s="21" t="s">
        <v>1951</v>
      </c>
    </row>
    <row r="620" spans="1:20" ht="23.25" customHeight="1" x14ac:dyDescent="0.25">
      <c r="A620" s="20" t="s">
        <v>2533</v>
      </c>
      <c r="B620" s="22">
        <v>2025</v>
      </c>
      <c r="C620" s="92" t="s">
        <v>21</v>
      </c>
      <c r="D620" s="22" t="s">
        <v>2534</v>
      </c>
      <c r="E620" s="27" t="s">
        <v>2535</v>
      </c>
      <c r="F620" s="29" t="s">
        <v>62</v>
      </c>
      <c r="G620" s="20" t="s">
        <v>72</v>
      </c>
      <c r="H620" s="36" t="s">
        <v>2536</v>
      </c>
      <c r="I620" s="37">
        <v>45902</v>
      </c>
      <c r="J620" s="37">
        <v>45904</v>
      </c>
      <c r="K620" s="22" t="s">
        <v>35</v>
      </c>
      <c r="L620" s="28"/>
      <c r="M620" s="86">
        <v>4.8</v>
      </c>
      <c r="N620" s="41">
        <v>40</v>
      </c>
      <c r="O620" s="23">
        <v>0</v>
      </c>
      <c r="P620" s="23">
        <v>47</v>
      </c>
      <c r="Q620" s="23">
        <v>0</v>
      </c>
      <c r="R620" s="23">
        <f t="shared" si="10"/>
        <v>47</v>
      </c>
      <c r="S620" s="22">
        <v>12</v>
      </c>
      <c r="T620" s="20" t="s">
        <v>2102</v>
      </c>
    </row>
    <row r="621" spans="1:20" ht="23.25" customHeight="1" x14ac:dyDescent="0.25">
      <c r="A621" s="21" t="s">
        <v>2537</v>
      </c>
      <c r="B621" s="24">
        <v>2025</v>
      </c>
      <c r="C621" s="90" t="s">
        <v>21</v>
      </c>
      <c r="D621" s="24" t="s">
        <v>2538</v>
      </c>
      <c r="E621" s="30" t="s">
        <v>2539</v>
      </c>
      <c r="F621" s="31" t="s">
        <v>23</v>
      </c>
      <c r="G621" s="46" t="s">
        <v>199</v>
      </c>
      <c r="H621" s="38" t="s">
        <v>2540</v>
      </c>
      <c r="I621" s="39">
        <v>45905</v>
      </c>
      <c r="J621" s="39">
        <v>45905</v>
      </c>
      <c r="K621" s="24" t="s">
        <v>35</v>
      </c>
      <c r="L621" s="26"/>
      <c r="M621" s="87">
        <v>4.9000000000000004</v>
      </c>
      <c r="N621" s="40">
        <v>25</v>
      </c>
      <c r="O621" s="25">
        <v>23</v>
      </c>
      <c r="P621" s="25">
        <v>0</v>
      </c>
      <c r="Q621" s="25">
        <v>0</v>
      </c>
      <c r="R621" s="25">
        <f t="shared" si="10"/>
        <v>23</v>
      </c>
      <c r="S621" s="24">
        <v>4</v>
      </c>
      <c r="T621" s="46" t="s">
        <v>2541</v>
      </c>
    </row>
    <row r="622" spans="1:20" ht="23.25" customHeight="1" x14ac:dyDescent="0.25">
      <c r="A622" s="20" t="s">
        <v>2542</v>
      </c>
      <c r="B622" s="22">
        <v>2025</v>
      </c>
      <c r="C622" s="92" t="s">
        <v>21</v>
      </c>
      <c r="D622" s="22" t="s">
        <v>2397</v>
      </c>
      <c r="E622" s="27" t="s">
        <v>2543</v>
      </c>
      <c r="F622" s="29" t="s">
        <v>23</v>
      </c>
      <c r="G622" s="20" t="s">
        <v>364</v>
      </c>
      <c r="H622" s="36" t="s">
        <v>2544</v>
      </c>
      <c r="I622" s="37">
        <v>45908</v>
      </c>
      <c r="J622" s="37">
        <v>45909</v>
      </c>
      <c r="K622" s="22" t="s">
        <v>35</v>
      </c>
      <c r="L622" s="28"/>
      <c r="M622" s="86">
        <v>4.4000000000000004</v>
      </c>
      <c r="N622" s="41">
        <v>30</v>
      </c>
      <c r="O622" s="23">
        <v>21</v>
      </c>
      <c r="P622" s="23">
        <v>0</v>
      </c>
      <c r="Q622" s="23">
        <v>0</v>
      </c>
      <c r="R622" s="23">
        <f t="shared" si="10"/>
        <v>21</v>
      </c>
      <c r="S622" s="22">
        <v>8</v>
      </c>
      <c r="T622" s="20" t="s">
        <v>2400</v>
      </c>
    </row>
    <row r="623" spans="1:20" ht="23.25" customHeight="1" x14ac:dyDescent="0.25">
      <c r="A623" s="21" t="s">
        <v>2545</v>
      </c>
      <c r="B623" s="24">
        <v>2025</v>
      </c>
      <c r="C623" s="92" t="s">
        <v>21</v>
      </c>
      <c r="D623" s="24" t="s">
        <v>2546</v>
      </c>
      <c r="E623" s="30" t="s">
        <v>2547</v>
      </c>
      <c r="F623" s="31" t="s">
        <v>23</v>
      </c>
      <c r="G623" s="21" t="s">
        <v>38</v>
      </c>
      <c r="H623" s="38" t="s">
        <v>2548</v>
      </c>
      <c r="I623" s="39">
        <v>45910</v>
      </c>
      <c r="J623" s="39">
        <v>45911</v>
      </c>
      <c r="K623" s="24" t="s">
        <v>26</v>
      </c>
      <c r="L623" s="26">
        <v>37706.28</v>
      </c>
      <c r="M623" s="87">
        <v>4.7</v>
      </c>
      <c r="N623" s="40">
        <v>30</v>
      </c>
      <c r="O623" s="25">
        <v>26</v>
      </c>
      <c r="P623" s="25">
        <v>0</v>
      </c>
      <c r="Q623" s="25">
        <v>0</v>
      </c>
      <c r="R623" s="25">
        <f t="shared" si="10"/>
        <v>26</v>
      </c>
      <c r="S623" s="24">
        <v>6</v>
      </c>
      <c r="T623" s="21" t="s">
        <v>2549</v>
      </c>
    </row>
    <row r="624" spans="1:20" ht="23.25" customHeight="1" x14ac:dyDescent="0.25">
      <c r="A624" s="20" t="s">
        <v>2550</v>
      </c>
      <c r="B624" s="22">
        <v>2025</v>
      </c>
      <c r="C624" s="92" t="s">
        <v>21</v>
      </c>
      <c r="D624" s="22" t="s">
        <v>2359</v>
      </c>
      <c r="E624" s="27" t="s">
        <v>2551</v>
      </c>
      <c r="F624" s="83" t="s">
        <v>81</v>
      </c>
      <c r="G624" s="54" t="s">
        <v>72</v>
      </c>
      <c r="H624" s="36" t="s">
        <v>2552</v>
      </c>
      <c r="I624" s="37">
        <v>45911</v>
      </c>
      <c r="J624" s="37">
        <v>45911</v>
      </c>
      <c r="K624" s="22" t="s">
        <v>35</v>
      </c>
      <c r="L624" s="28"/>
      <c r="M624" s="86"/>
      <c r="N624" s="41">
        <v>88</v>
      </c>
      <c r="O624" s="23">
        <v>0</v>
      </c>
      <c r="P624" s="23">
        <v>0</v>
      </c>
      <c r="Q624" s="23">
        <v>88</v>
      </c>
      <c r="R624" s="23">
        <f t="shared" si="10"/>
        <v>88</v>
      </c>
      <c r="S624" s="22">
        <v>3</v>
      </c>
      <c r="T624" s="43" t="s">
        <v>2362</v>
      </c>
    </row>
    <row r="625" spans="1:20" ht="23.25" customHeight="1" x14ac:dyDescent="0.25">
      <c r="A625" s="21" t="s">
        <v>2553</v>
      </c>
      <c r="B625" s="24">
        <v>2025</v>
      </c>
      <c r="C625" s="90" t="s">
        <v>21</v>
      </c>
      <c r="D625" s="24" t="s">
        <v>2434</v>
      </c>
      <c r="E625" s="30" t="s">
        <v>2554</v>
      </c>
      <c r="F625" s="31" t="s">
        <v>81</v>
      </c>
      <c r="G625" s="21" t="s">
        <v>72</v>
      </c>
      <c r="H625" s="38" t="s">
        <v>2555</v>
      </c>
      <c r="I625" s="39">
        <v>45912</v>
      </c>
      <c r="J625" s="39">
        <v>45912</v>
      </c>
      <c r="K625" s="24" t="s">
        <v>35</v>
      </c>
      <c r="L625" s="26"/>
      <c r="M625" s="87">
        <v>4.87</v>
      </c>
      <c r="N625" s="40">
        <v>30</v>
      </c>
      <c r="O625" s="25">
        <v>0</v>
      </c>
      <c r="P625" s="25">
        <v>33</v>
      </c>
      <c r="Q625" s="25">
        <v>0</v>
      </c>
      <c r="R625" s="25">
        <f t="shared" si="10"/>
        <v>33</v>
      </c>
      <c r="S625" s="24">
        <v>4</v>
      </c>
      <c r="T625" s="46" t="s">
        <v>2436</v>
      </c>
    </row>
    <row r="626" spans="1:20" ht="23.25" customHeight="1" x14ac:dyDescent="0.25">
      <c r="A626" s="20" t="s">
        <v>2556</v>
      </c>
      <c r="B626" s="22">
        <v>2025</v>
      </c>
      <c r="C626" s="92" t="s">
        <v>21</v>
      </c>
      <c r="D626" s="22" t="s">
        <v>2359</v>
      </c>
      <c r="E626" s="27" t="s">
        <v>2557</v>
      </c>
      <c r="F626" s="29" t="s">
        <v>81</v>
      </c>
      <c r="G626" s="54" t="s">
        <v>72</v>
      </c>
      <c r="H626" s="36" t="s">
        <v>2555</v>
      </c>
      <c r="I626" s="37">
        <v>45912</v>
      </c>
      <c r="J626" s="37">
        <v>45912</v>
      </c>
      <c r="K626" s="22" t="s">
        <v>35</v>
      </c>
      <c r="L626" s="28"/>
      <c r="M626" s="86"/>
      <c r="N626" s="41">
        <v>128</v>
      </c>
      <c r="O626" s="23">
        <v>0</v>
      </c>
      <c r="P626" s="23">
        <v>0</v>
      </c>
      <c r="Q626" s="23">
        <v>128</v>
      </c>
      <c r="R626" s="23">
        <f t="shared" si="10"/>
        <v>128</v>
      </c>
      <c r="S626" s="22">
        <v>3</v>
      </c>
      <c r="T626" s="43" t="s">
        <v>2362</v>
      </c>
    </row>
    <row r="627" spans="1:20" ht="23.25" customHeight="1" x14ac:dyDescent="0.25">
      <c r="A627" s="21" t="s">
        <v>2558</v>
      </c>
      <c r="B627" s="24">
        <v>2025</v>
      </c>
      <c r="C627" s="92" t="s">
        <v>21</v>
      </c>
      <c r="D627" s="24" t="s">
        <v>2559</v>
      </c>
      <c r="E627" s="30" t="s">
        <v>2560</v>
      </c>
      <c r="F627" s="84" t="s">
        <v>23</v>
      </c>
      <c r="G627" s="46" t="s">
        <v>199</v>
      </c>
      <c r="H627" s="38" t="s">
        <v>2561</v>
      </c>
      <c r="I627" s="39">
        <v>45916</v>
      </c>
      <c r="J627" s="39">
        <v>45916</v>
      </c>
      <c r="K627" s="24" t="s">
        <v>35</v>
      </c>
      <c r="L627" s="26"/>
      <c r="M627" s="87">
        <v>4.9000000000000004</v>
      </c>
      <c r="N627" s="40">
        <v>80</v>
      </c>
      <c r="O627" s="25">
        <v>80</v>
      </c>
      <c r="P627" s="25">
        <v>0</v>
      </c>
      <c r="Q627" s="25">
        <v>0</v>
      </c>
      <c r="R627" s="25">
        <f t="shared" si="10"/>
        <v>80</v>
      </c>
      <c r="S627" s="24">
        <v>2</v>
      </c>
      <c r="T627" s="21"/>
    </row>
    <row r="628" spans="1:20" ht="23.25" customHeight="1" x14ac:dyDescent="0.25">
      <c r="A628" s="20" t="s">
        <v>2562</v>
      </c>
      <c r="B628" s="22">
        <v>2025</v>
      </c>
      <c r="C628" s="90" t="s">
        <v>21</v>
      </c>
      <c r="D628" s="22" t="s">
        <v>2563</v>
      </c>
      <c r="E628" s="27" t="s">
        <v>2564</v>
      </c>
      <c r="F628" s="29" t="s">
        <v>23</v>
      </c>
      <c r="G628" s="20" t="s">
        <v>38</v>
      </c>
      <c r="H628" s="36" t="s">
        <v>2565</v>
      </c>
      <c r="I628" s="37">
        <v>45922</v>
      </c>
      <c r="J628" s="37">
        <v>45926</v>
      </c>
      <c r="K628" s="22" t="s">
        <v>26</v>
      </c>
      <c r="L628" s="28">
        <v>18925</v>
      </c>
      <c r="M628" s="86">
        <v>4.9000000000000004</v>
      </c>
      <c r="N628" s="41">
        <v>20</v>
      </c>
      <c r="O628" s="23">
        <v>18</v>
      </c>
      <c r="P628" s="23">
        <v>5</v>
      </c>
      <c r="Q628" s="23">
        <v>0</v>
      </c>
      <c r="R628" s="23">
        <f t="shared" si="10"/>
        <v>23</v>
      </c>
      <c r="S628" s="22" t="s">
        <v>2566</v>
      </c>
      <c r="T628" s="20" t="s">
        <v>2567</v>
      </c>
    </row>
    <row r="629" spans="1:20" ht="23.25" customHeight="1" x14ac:dyDescent="0.25">
      <c r="A629" s="21" t="s">
        <v>2568</v>
      </c>
      <c r="B629" s="24">
        <v>2025</v>
      </c>
      <c r="C629" s="92" t="s">
        <v>21</v>
      </c>
      <c r="D629" s="24" t="s">
        <v>2569</v>
      </c>
      <c r="E629" s="30" t="s">
        <v>2570</v>
      </c>
      <c r="F629" s="31" t="s">
        <v>62</v>
      </c>
      <c r="G629" s="21" t="s">
        <v>72</v>
      </c>
      <c r="H629" s="38" t="s">
        <v>2571</v>
      </c>
      <c r="I629" s="39">
        <v>45924</v>
      </c>
      <c r="J629" s="39">
        <v>45931</v>
      </c>
      <c r="K629" s="24" t="s">
        <v>35</v>
      </c>
      <c r="L629" s="26">
        <v>0</v>
      </c>
      <c r="M629" s="87">
        <v>4.4000000000000004</v>
      </c>
      <c r="N629" s="40">
        <v>40</v>
      </c>
      <c r="O629" s="25">
        <v>0</v>
      </c>
      <c r="P629" s="25">
        <v>49</v>
      </c>
      <c r="Q629" s="25">
        <v>0</v>
      </c>
      <c r="R629" s="25">
        <f t="shared" si="10"/>
        <v>49</v>
      </c>
      <c r="S629" s="24">
        <v>16</v>
      </c>
      <c r="T629" s="21" t="s">
        <v>2572</v>
      </c>
    </row>
    <row r="630" spans="1:20" ht="23.25" customHeight="1" x14ac:dyDescent="0.25">
      <c r="A630" s="20" t="s">
        <v>2573</v>
      </c>
      <c r="B630" s="22">
        <v>2025</v>
      </c>
      <c r="C630" s="92" t="s">
        <v>21</v>
      </c>
      <c r="D630" s="22" t="s">
        <v>2574</v>
      </c>
      <c r="E630" s="27" t="s">
        <v>2575</v>
      </c>
      <c r="F630" s="29" t="s">
        <v>81</v>
      </c>
      <c r="G630" s="20" t="s">
        <v>72</v>
      </c>
      <c r="H630" s="36" t="s">
        <v>2576</v>
      </c>
      <c r="I630" s="37">
        <v>45925</v>
      </c>
      <c r="J630" s="37">
        <v>45926</v>
      </c>
      <c r="K630" s="22" t="s">
        <v>220</v>
      </c>
      <c r="L630" s="28"/>
      <c r="M630" s="86">
        <v>4.9000000000000004</v>
      </c>
      <c r="N630" s="41">
        <v>170</v>
      </c>
      <c r="O630" s="23">
        <v>43</v>
      </c>
      <c r="P630" s="23">
        <v>139</v>
      </c>
      <c r="Q630" s="23">
        <v>46</v>
      </c>
      <c r="R630" s="23">
        <f t="shared" si="10"/>
        <v>228</v>
      </c>
      <c r="S630" s="22">
        <v>14</v>
      </c>
      <c r="T630" s="20" t="s">
        <v>472</v>
      </c>
    </row>
    <row r="631" spans="1:20" ht="23.25" customHeight="1" x14ac:dyDescent="0.25">
      <c r="A631" s="21" t="s">
        <v>2577</v>
      </c>
      <c r="B631" s="24">
        <v>2025</v>
      </c>
      <c r="C631" s="92" t="s">
        <v>21</v>
      </c>
      <c r="D631" s="24" t="s">
        <v>2460</v>
      </c>
      <c r="E631" s="30" t="s">
        <v>2578</v>
      </c>
      <c r="F631" s="31" t="s">
        <v>23</v>
      </c>
      <c r="G631" s="46" t="s">
        <v>68</v>
      </c>
      <c r="H631" s="38" t="s">
        <v>2579</v>
      </c>
      <c r="I631" s="39">
        <v>45932</v>
      </c>
      <c r="J631" s="39">
        <v>45933</v>
      </c>
      <c r="K631" s="24" t="s">
        <v>35</v>
      </c>
      <c r="L631" s="26"/>
      <c r="M631" s="87">
        <v>4.8499999999999996</v>
      </c>
      <c r="N631" s="40">
        <v>20</v>
      </c>
      <c r="O631" s="25">
        <v>6</v>
      </c>
      <c r="P631" s="25">
        <v>22</v>
      </c>
      <c r="Q631" s="25">
        <v>0</v>
      </c>
      <c r="R631" s="25">
        <f t="shared" si="10"/>
        <v>28</v>
      </c>
      <c r="S631" s="24">
        <v>8</v>
      </c>
      <c r="T631" s="21" t="s">
        <v>2014</v>
      </c>
    </row>
    <row r="632" spans="1:20" ht="23.25" customHeight="1" x14ac:dyDescent="0.25">
      <c r="A632" s="20" t="s">
        <v>2580</v>
      </c>
      <c r="B632" s="22">
        <v>2025</v>
      </c>
      <c r="C632" s="90" t="s">
        <v>21</v>
      </c>
      <c r="D632" s="22" t="s">
        <v>2581</v>
      </c>
      <c r="E632" s="82" t="s">
        <v>2582</v>
      </c>
      <c r="F632" s="29" t="s">
        <v>23</v>
      </c>
      <c r="G632" s="20" t="s">
        <v>38</v>
      </c>
      <c r="H632" s="77" t="s">
        <v>2583</v>
      </c>
      <c r="I632" s="37">
        <v>45932</v>
      </c>
      <c r="J632" s="37">
        <v>45947</v>
      </c>
      <c r="K632" s="22" t="s">
        <v>35</v>
      </c>
      <c r="L632" s="28">
        <v>0</v>
      </c>
      <c r="M632" s="86"/>
      <c r="N632" s="41">
        <v>20</v>
      </c>
      <c r="O632" s="23">
        <v>16</v>
      </c>
      <c r="P632" s="23">
        <v>0</v>
      </c>
      <c r="Q632" s="23">
        <v>0</v>
      </c>
      <c r="R632" s="23">
        <f t="shared" si="10"/>
        <v>16</v>
      </c>
      <c r="S632" s="22">
        <v>48</v>
      </c>
      <c r="T632" s="54" t="s">
        <v>2584</v>
      </c>
    </row>
    <row r="633" spans="1:20" ht="23.25" customHeight="1" x14ac:dyDescent="0.25">
      <c r="A633" s="21" t="s">
        <v>2585</v>
      </c>
      <c r="B633" s="24">
        <v>2025</v>
      </c>
      <c r="C633" s="90" t="s">
        <v>21</v>
      </c>
      <c r="D633" s="24" t="s">
        <v>2586</v>
      </c>
      <c r="E633" s="30" t="s">
        <v>2587</v>
      </c>
      <c r="F633" s="31" t="s">
        <v>62</v>
      </c>
      <c r="G633" s="21" t="s">
        <v>72</v>
      </c>
      <c r="H633" s="38" t="s">
        <v>2588</v>
      </c>
      <c r="I633" s="39">
        <v>45932</v>
      </c>
      <c r="J633" s="39">
        <v>45936</v>
      </c>
      <c r="K633" s="24" t="s">
        <v>35</v>
      </c>
      <c r="L633" s="26"/>
      <c r="M633" s="87">
        <v>4.5999999999999996</v>
      </c>
      <c r="N633" s="40">
        <v>30</v>
      </c>
      <c r="O633" s="25">
        <v>0</v>
      </c>
      <c r="P633" s="25">
        <v>40</v>
      </c>
      <c r="Q633" s="25">
        <v>0</v>
      </c>
      <c r="R633" s="25">
        <f t="shared" si="10"/>
        <v>40</v>
      </c>
      <c r="S633" s="24">
        <v>12</v>
      </c>
      <c r="T633" s="21" t="s">
        <v>2445</v>
      </c>
    </row>
    <row r="634" spans="1:20" ht="23.25" customHeight="1" x14ac:dyDescent="0.25">
      <c r="A634" s="20" t="s">
        <v>2589</v>
      </c>
      <c r="B634" s="22">
        <v>2025</v>
      </c>
      <c r="C634" s="92" t="s">
        <v>21</v>
      </c>
      <c r="D634" s="22" t="s">
        <v>2590</v>
      </c>
      <c r="E634" s="27" t="s">
        <v>2591</v>
      </c>
      <c r="F634" s="83" t="s">
        <v>23</v>
      </c>
      <c r="G634" s="54" t="s">
        <v>199</v>
      </c>
      <c r="H634" s="36" t="s">
        <v>2592</v>
      </c>
      <c r="I634" s="37">
        <v>45933</v>
      </c>
      <c r="J634" s="37">
        <v>45933</v>
      </c>
      <c r="K634" s="22" t="s">
        <v>26</v>
      </c>
      <c r="L634" s="28">
        <v>0</v>
      </c>
      <c r="M634" s="86">
        <v>4.76</v>
      </c>
      <c r="N634" s="41">
        <v>80</v>
      </c>
      <c r="O634" s="23">
        <v>80</v>
      </c>
      <c r="P634" s="23">
        <v>0</v>
      </c>
      <c r="Q634" s="23">
        <v>0</v>
      </c>
      <c r="R634" s="23">
        <f t="shared" si="10"/>
        <v>80</v>
      </c>
      <c r="S634" s="22">
        <v>4</v>
      </c>
      <c r="T634" s="20"/>
    </row>
    <row r="635" spans="1:20" ht="23.25" customHeight="1" x14ac:dyDescent="0.25">
      <c r="A635" s="21" t="s">
        <v>2593</v>
      </c>
      <c r="B635" s="24">
        <v>2025</v>
      </c>
      <c r="C635" s="92" t="s">
        <v>21</v>
      </c>
      <c r="D635" s="24" t="s">
        <v>2312</v>
      </c>
      <c r="E635" s="30" t="s">
        <v>2594</v>
      </c>
      <c r="F635" s="31" t="s">
        <v>62</v>
      </c>
      <c r="G635" s="21" t="s">
        <v>33</v>
      </c>
      <c r="H635" s="38" t="s">
        <v>2595</v>
      </c>
      <c r="I635" s="39">
        <v>45936</v>
      </c>
      <c r="J635" s="39">
        <v>45936</v>
      </c>
      <c r="K635" s="24" t="s">
        <v>26</v>
      </c>
      <c r="L635" s="26">
        <v>0</v>
      </c>
      <c r="M635" s="87">
        <v>4.9000000000000004</v>
      </c>
      <c r="N635" s="40">
        <v>150</v>
      </c>
      <c r="O635" s="25">
        <v>20</v>
      </c>
      <c r="P635" s="25">
        <v>50</v>
      </c>
      <c r="Q635" s="25">
        <v>0</v>
      </c>
      <c r="R635" s="25">
        <f t="shared" si="10"/>
        <v>70</v>
      </c>
      <c r="S635" s="24">
        <v>1</v>
      </c>
      <c r="T635" s="271" t="s">
        <v>2315</v>
      </c>
    </row>
    <row r="636" spans="1:20" ht="31.5" customHeight="1" x14ac:dyDescent="0.25">
      <c r="A636" s="20" t="s">
        <v>2596</v>
      </c>
      <c r="B636" s="22">
        <v>2025</v>
      </c>
      <c r="C636" s="90" t="s">
        <v>21</v>
      </c>
      <c r="D636" s="22" t="s">
        <v>2597</v>
      </c>
      <c r="E636" s="82" t="s">
        <v>2598</v>
      </c>
      <c r="F636" s="29" t="s">
        <v>62</v>
      </c>
      <c r="G636" s="20" t="s">
        <v>72</v>
      </c>
      <c r="H636" s="36" t="s">
        <v>2599</v>
      </c>
      <c r="I636" s="37">
        <v>45938</v>
      </c>
      <c r="J636" s="37">
        <v>45940</v>
      </c>
      <c r="K636" s="22" t="s">
        <v>35</v>
      </c>
      <c r="L636" s="28"/>
      <c r="M636" s="86">
        <v>4.9000000000000004</v>
      </c>
      <c r="N636" s="41">
        <v>20</v>
      </c>
      <c r="O636" s="23">
        <v>0</v>
      </c>
      <c r="P636" s="23">
        <v>28</v>
      </c>
      <c r="Q636" s="23">
        <v>0</v>
      </c>
      <c r="R636" s="23">
        <f t="shared" si="10"/>
        <v>28</v>
      </c>
      <c r="S636" s="22">
        <v>12</v>
      </c>
      <c r="T636" s="20" t="s">
        <v>2600</v>
      </c>
    </row>
    <row r="637" spans="1:20" ht="23.25" customHeight="1" x14ac:dyDescent="0.25">
      <c r="A637" s="21" t="s">
        <v>2601</v>
      </c>
      <c r="B637" s="24">
        <v>2025</v>
      </c>
      <c r="C637" s="90" t="s">
        <v>21</v>
      </c>
      <c r="D637" s="24" t="s">
        <v>2602</v>
      </c>
      <c r="E637" s="30" t="s">
        <v>2603</v>
      </c>
      <c r="F637" s="31" t="s">
        <v>81</v>
      </c>
      <c r="G637" s="21" t="s">
        <v>72</v>
      </c>
      <c r="H637" s="263" t="s">
        <v>2604</v>
      </c>
      <c r="I637" s="39">
        <v>45944</v>
      </c>
      <c r="J637" s="39">
        <v>45946</v>
      </c>
      <c r="K637" s="24" t="s">
        <v>35</v>
      </c>
      <c r="L637" s="26"/>
      <c r="M637" s="87">
        <v>4.8099999999999996</v>
      </c>
      <c r="N637" s="40">
        <v>20</v>
      </c>
      <c r="O637" s="25">
        <v>0</v>
      </c>
      <c r="P637" s="25">
        <v>0</v>
      </c>
      <c r="Q637" s="25">
        <v>30</v>
      </c>
      <c r="R637" s="25">
        <f t="shared" si="10"/>
        <v>30</v>
      </c>
      <c r="S637" s="24">
        <v>12</v>
      </c>
      <c r="T637" s="21" t="s">
        <v>2605</v>
      </c>
    </row>
    <row r="638" spans="1:20" ht="23.25" customHeight="1" x14ac:dyDescent="0.25">
      <c r="A638" s="20" t="s">
        <v>2606</v>
      </c>
      <c r="B638" s="22">
        <v>2025</v>
      </c>
      <c r="C638" s="90" t="s">
        <v>21</v>
      </c>
      <c r="D638" s="22" t="s">
        <v>2607</v>
      </c>
      <c r="E638" s="27" t="s">
        <v>2608</v>
      </c>
      <c r="F638" s="29" t="s">
        <v>23</v>
      </c>
      <c r="G638" s="20" t="s">
        <v>33</v>
      </c>
      <c r="H638" s="36" t="s">
        <v>2609</v>
      </c>
      <c r="I638" s="37">
        <v>45950</v>
      </c>
      <c r="J638" s="37">
        <v>45954</v>
      </c>
      <c r="K638" s="22" t="s">
        <v>26</v>
      </c>
      <c r="L638" s="28">
        <v>18925</v>
      </c>
      <c r="M638" s="86">
        <v>4.9800000000000004</v>
      </c>
      <c r="N638" s="41">
        <v>20</v>
      </c>
      <c r="O638" s="23">
        <v>18</v>
      </c>
      <c r="P638" s="23">
        <v>3</v>
      </c>
      <c r="Q638" s="23">
        <v>0</v>
      </c>
      <c r="R638" s="23">
        <f t="shared" si="10"/>
        <v>21</v>
      </c>
      <c r="S638" s="22" t="s">
        <v>2566</v>
      </c>
      <c r="T638" s="20" t="s">
        <v>2567</v>
      </c>
    </row>
    <row r="639" spans="1:20" ht="23.25" customHeight="1" x14ac:dyDescent="0.25">
      <c r="A639" s="21" t="s">
        <v>2610</v>
      </c>
      <c r="B639" s="24">
        <v>2025</v>
      </c>
      <c r="C639" s="90" t="s">
        <v>21</v>
      </c>
      <c r="D639" s="24" t="s">
        <v>2611</v>
      </c>
      <c r="E639" s="30" t="s">
        <v>2612</v>
      </c>
      <c r="F639" s="31" t="s">
        <v>81</v>
      </c>
      <c r="G639" s="46" t="s">
        <v>72</v>
      </c>
      <c r="H639" s="38" t="s">
        <v>2613</v>
      </c>
      <c r="I639" s="39">
        <v>45950</v>
      </c>
      <c r="J639" s="39">
        <v>45951</v>
      </c>
      <c r="K639" s="24" t="s">
        <v>220</v>
      </c>
      <c r="L639" s="26">
        <v>0</v>
      </c>
      <c r="M639" s="87">
        <v>4.9000000000000004</v>
      </c>
      <c r="N639" s="40">
        <v>170</v>
      </c>
      <c r="O639" s="25">
        <v>35</v>
      </c>
      <c r="P639" s="25">
        <v>104</v>
      </c>
      <c r="Q639" s="25">
        <v>40</v>
      </c>
      <c r="R639" s="25">
        <f t="shared" si="10"/>
        <v>179</v>
      </c>
      <c r="S639" s="24">
        <v>14</v>
      </c>
      <c r="T639" s="21" t="s">
        <v>472</v>
      </c>
    </row>
    <row r="640" spans="1:20" ht="23.25" customHeight="1" x14ac:dyDescent="0.25">
      <c r="A640" s="20" t="s">
        <v>2614</v>
      </c>
      <c r="B640" s="22">
        <v>2025</v>
      </c>
      <c r="C640" s="92" t="s">
        <v>21</v>
      </c>
      <c r="D640" s="22" t="s">
        <v>2615</v>
      </c>
      <c r="E640" s="27" t="s">
        <v>2616</v>
      </c>
      <c r="F640" s="83" t="s">
        <v>23</v>
      </c>
      <c r="G640" s="54" t="s">
        <v>199</v>
      </c>
      <c r="H640" s="36" t="s">
        <v>2617</v>
      </c>
      <c r="I640" s="37">
        <v>45953</v>
      </c>
      <c r="J640" s="37">
        <v>45953</v>
      </c>
      <c r="K640" s="22" t="s">
        <v>35</v>
      </c>
      <c r="L640" s="28"/>
      <c r="M640" s="86"/>
      <c r="N640" s="41"/>
      <c r="O640" s="23">
        <v>0</v>
      </c>
      <c r="P640" s="23">
        <v>0</v>
      </c>
      <c r="Q640" s="23">
        <v>0</v>
      </c>
      <c r="R640" s="23">
        <f t="shared" si="10"/>
        <v>0</v>
      </c>
      <c r="S640" s="22">
        <v>2</v>
      </c>
      <c r="T640" s="20"/>
    </row>
    <row r="641" spans="1:20" ht="23.25" customHeight="1" x14ac:dyDescent="0.25">
      <c r="A641" s="21" t="s">
        <v>2618</v>
      </c>
      <c r="B641" s="24">
        <v>2025</v>
      </c>
      <c r="C641" s="90" t="s">
        <v>21</v>
      </c>
      <c r="D641" s="24" t="s">
        <v>2619</v>
      </c>
      <c r="E641" s="30" t="s">
        <v>2431</v>
      </c>
      <c r="F641" s="31" t="s">
        <v>81</v>
      </c>
      <c r="G641" s="78" t="s">
        <v>72</v>
      </c>
      <c r="H641" s="76" t="s">
        <v>2620</v>
      </c>
      <c r="I641" s="39">
        <v>45954</v>
      </c>
      <c r="J641" s="39">
        <v>45989</v>
      </c>
      <c r="K641" s="24" t="s">
        <v>35</v>
      </c>
      <c r="L641" s="26"/>
      <c r="M641" s="87">
        <v>4.92</v>
      </c>
      <c r="N641" s="40">
        <v>25</v>
      </c>
      <c r="O641" s="25">
        <v>0</v>
      </c>
      <c r="P641" s="25">
        <v>0</v>
      </c>
      <c r="Q641" s="25">
        <v>25</v>
      </c>
      <c r="R641" s="25">
        <f>SUM(Tabela2[[#This Row],[P. Servidores]:[P. Sociedade]])</f>
        <v>25</v>
      </c>
      <c r="S641" s="24">
        <v>6</v>
      </c>
      <c r="T641" s="105" t="s">
        <v>2621</v>
      </c>
    </row>
    <row r="642" spans="1:20" ht="23.25" customHeight="1" x14ac:dyDescent="0.25">
      <c r="A642" s="20" t="s">
        <v>2622</v>
      </c>
      <c r="B642" s="22">
        <v>2025</v>
      </c>
      <c r="C642" s="90" t="s">
        <v>21</v>
      </c>
      <c r="D642" s="22" t="s">
        <v>2623</v>
      </c>
      <c r="E642" s="27" t="s">
        <v>2269</v>
      </c>
      <c r="F642" s="29" t="s">
        <v>81</v>
      </c>
      <c r="G642" s="20" t="s">
        <v>72</v>
      </c>
      <c r="H642" s="36" t="s">
        <v>2624</v>
      </c>
      <c r="I642" s="37">
        <v>45964</v>
      </c>
      <c r="J642" s="37">
        <v>45968</v>
      </c>
      <c r="K642" s="22" t="s">
        <v>35</v>
      </c>
      <c r="L642" s="28"/>
      <c r="M642" s="86">
        <v>4.93</v>
      </c>
      <c r="N642" s="41">
        <v>30</v>
      </c>
      <c r="O642" s="23">
        <v>0</v>
      </c>
      <c r="P642" s="23">
        <v>0</v>
      </c>
      <c r="Q642" s="23">
        <v>33</v>
      </c>
      <c r="R642" s="23">
        <f t="shared" ref="R642:R649" si="11">SUM(O642:Q642)</f>
        <v>33</v>
      </c>
      <c r="S642" s="22">
        <v>20</v>
      </c>
      <c r="T642" s="20" t="s">
        <v>2159</v>
      </c>
    </row>
    <row r="643" spans="1:20" ht="23.25" customHeight="1" x14ac:dyDescent="0.25">
      <c r="A643" s="21" t="s">
        <v>2625</v>
      </c>
      <c r="B643" s="24">
        <v>2025</v>
      </c>
      <c r="C643" s="92" t="s">
        <v>21</v>
      </c>
      <c r="D643" s="24" t="s">
        <v>2359</v>
      </c>
      <c r="E643" s="30" t="s">
        <v>2626</v>
      </c>
      <c r="F643" s="31" t="s">
        <v>81</v>
      </c>
      <c r="G643" s="21" t="s">
        <v>72</v>
      </c>
      <c r="H643" s="38" t="s">
        <v>2627</v>
      </c>
      <c r="I643" s="39">
        <v>45967</v>
      </c>
      <c r="J643" s="39">
        <v>45967</v>
      </c>
      <c r="K643" s="24" t="s">
        <v>35</v>
      </c>
      <c r="L643" s="26"/>
      <c r="M643" s="87"/>
      <c r="N643" s="40">
        <v>39</v>
      </c>
      <c r="O643" s="25">
        <v>0</v>
      </c>
      <c r="P643" s="25">
        <v>0</v>
      </c>
      <c r="Q643" s="25">
        <v>39</v>
      </c>
      <c r="R643" s="25">
        <f t="shared" si="11"/>
        <v>39</v>
      </c>
      <c r="S643" s="24">
        <v>4</v>
      </c>
      <c r="T643" s="44" t="s">
        <v>2362</v>
      </c>
    </row>
    <row r="644" spans="1:20" ht="23.25" customHeight="1" x14ac:dyDescent="0.25">
      <c r="A644" s="20" t="s">
        <v>2628</v>
      </c>
      <c r="B644" s="22">
        <v>2025</v>
      </c>
      <c r="C644" s="90" t="s">
        <v>21</v>
      </c>
      <c r="D644" s="22" t="s">
        <v>2629</v>
      </c>
      <c r="E644" s="27" t="s">
        <v>2551</v>
      </c>
      <c r="F644" s="29" t="s">
        <v>81</v>
      </c>
      <c r="G644" s="20" t="s">
        <v>72</v>
      </c>
      <c r="H644" s="36" t="s">
        <v>2627</v>
      </c>
      <c r="I644" s="37">
        <v>45967</v>
      </c>
      <c r="J644" s="37">
        <v>45967</v>
      </c>
      <c r="K644" s="22" t="s">
        <v>35</v>
      </c>
      <c r="L644" s="28">
        <f>2350.32+1971.21+1743.77+1169.53+730.8</f>
        <v>7965.630000000001</v>
      </c>
      <c r="M644" s="86"/>
      <c r="N644" s="41">
        <v>39</v>
      </c>
      <c r="O644" s="23">
        <v>0</v>
      </c>
      <c r="P644" s="23">
        <v>0</v>
      </c>
      <c r="Q644" s="23">
        <v>39</v>
      </c>
      <c r="R644" s="23">
        <f t="shared" si="11"/>
        <v>39</v>
      </c>
      <c r="S644" s="22">
        <v>4</v>
      </c>
      <c r="T644" s="43" t="s">
        <v>2630</v>
      </c>
    </row>
    <row r="645" spans="1:20" ht="32.25" customHeight="1" x14ac:dyDescent="0.25">
      <c r="A645" s="21" t="s">
        <v>2631</v>
      </c>
      <c r="B645" s="24">
        <v>2025</v>
      </c>
      <c r="C645" s="92" t="s">
        <v>21</v>
      </c>
      <c r="D645" s="24" t="s">
        <v>2632</v>
      </c>
      <c r="E645" s="30" t="s">
        <v>2633</v>
      </c>
      <c r="F645" s="84" t="s">
        <v>23</v>
      </c>
      <c r="G645" s="46" t="s">
        <v>199</v>
      </c>
      <c r="H645" s="38" t="s">
        <v>2634</v>
      </c>
      <c r="I645" s="39">
        <v>45968</v>
      </c>
      <c r="J645" s="39">
        <v>45968</v>
      </c>
      <c r="K645" s="24" t="s">
        <v>35</v>
      </c>
      <c r="L645" s="26"/>
      <c r="M645" s="87">
        <v>5</v>
      </c>
      <c r="N645" s="40">
        <v>170</v>
      </c>
      <c r="O645" s="25">
        <v>170</v>
      </c>
      <c r="P645" s="25">
        <v>0</v>
      </c>
      <c r="Q645" s="25">
        <v>0</v>
      </c>
      <c r="R645" s="25">
        <f t="shared" si="11"/>
        <v>170</v>
      </c>
      <c r="S645" s="24">
        <v>2</v>
      </c>
      <c r="T645" s="46" t="s">
        <v>2605</v>
      </c>
    </row>
    <row r="646" spans="1:20" ht="23.25" customHeight="1" x14ac:dyDescent="0.25">
      <c r="A646" s="20" t="s">
        <v>2635</v>
      </c>
      <c r="B646" s="22">
        <v>2025</v>
      </c>
      <c r="C646" s="92" t="s">
        <v>21</v>
      </c>
      <c r="D646" s="22" t="s">
        <v>2485</v>
      </c>
      <c r="E646" s="27" t="s">
        <v>2636</v>
      </c>
      <c r="F646" s="29" t="s">
        <v>23</v>
      </c>
      <c r="G646" s="54" t="s">
        <v>199</v>
      </c>
      <c r="H646" s="36" t="s">
        <v>2637</v>
      </c>
      <c r="I646" s="37">
        <v>45971</v>
      </c>
      <c r="J646" s="37">
        <v>45975</v>
      </c>
      <c r="K646" s="22" t="s">
        <v>26</v>
      </c>
      <c r="L646" s="28">
        <v>16000</v>
      </c>
      <c r="M646" s="86">
        <v>5</v>
      </c>
      <c r="N646" s="41">
        <v>20</v>
      </c>
      <c r="O646" s="23">
        <v>13</v>
      </c>
      <c r="P646" s="23">
        <v>0</v>
      </c>
      <c r="Q646" s="23">
        <v>0</v>
      </c>
      <c r="R646" s="23">
        <f t="shared" si="11"/>
        <v>13</v>
      </c>
      <c r="S646" s="22">
        <v>20</v>
      </c>
      <c r="T646" s="20" t="s">
        <v>796</v>
      </c>
    </row>
    <row r="647" spans="1:20" ht="23.25" customHeight="1" x14ac:dyDescent="0.25">
      <c r="A647" s="21" t="s">
        <v>2638</v>
      </c>
      <c r="B647" s="24">
        <v>2025</v>
      </c>
      <c r="C647" s="90" t="s">
        <v>21</v>
      </c>
      <c r="D647" s="24" t="s">
        <v>2639</v>
      </c>
      <c r="E647" s="30" t="s">
        <v>2228</v>
      </c>
      <c r="F647" s="31" t="s">
        <v>62</v>
      </c>
      <c r="G647" s="21" t="s">
        <v>72</v>
      </c>
      <c r="H647" s="76" t="s">
        <v>2640</v>
      </c>
      <c r="I647" s="39">
        <v>45972</v>
      </c>
      <c r="J647" s="39">
        <v>45980</v>
      </c>
      <c r="K647" s="24" t="s">
        <v>35</v>
      </c>
      <c r="L647" s="26"/>
      <c r="M647" s="87">
        <v>4.76</v>
      </c>
      <c r="N647" s="40">
        <v>25</v>
      </c>
      <c r="O647" s="25">
        <v>0</v>
      </c>
      <c r="P647" s="25">
        <v>34</v>
      </c>
      <c r="Q647" s="25">
        <v>0</v>
      </c>
      <c r="R647" s="25">
        <f t="shared" si="11"/>
        <v>34</v>
      </c>
      <c r="S647" s="24">
        <v>20</v>
      </c>
      <c r="T647" s="21" t="s">
        <v>2019</v>
      </c>
    </row>
    <row r="648" spans="1:20" ht="23.25" customHeight="1" x14ac:dyDescent="0.25">
      <c r="A648" s="20" t="s">
        <v>2641</v>
      </c>
      <c r="B648" s="22">
        <v>2025</v>
      </c>
      <c r="C648" s="90" t="s">
        <v>21</v>
      </c>
      <c r="D648" s="266" t="s">
        <v>2642</v>
      </c>
      <c r="E648" s="27" t="s">
        <v>2643</v>
      </c>
      <c r="F648" s="29" t="s">
        <v>62</v>
      </c>
      <c r="G648" s="20" t="s">
        <v>72</v>
      </c>
      <c r="H648" s="262" t="s">
        <v>2644</v>
      </c>
      <c r="I648" s="37">
        <v>45978</v>
      </c>
      <c r="J648" s="37">
        <v>45980</v>
      </c>
      <c r="K648" s="22" t="s">
        <v>35</v>
      </c>
      <c r="L648" s="28"/>
      <c r="M648" s="86">
        <v>4.8600000000000003</v>
      </c>
      <c r="N648" s="41">
        <v>30</v>
      </c>
      <c r="O648" s="23">
        <v>0</v>
      </c>
      <c r="P648" s="23">
        <v>45</v>
      </c>
      <c r="Q648" s="23">
        <v>0</v>
      </c>
      <c r="R648" s="23">
        <f t="shared" si="11"/>
        <v>45</v>
      </c>
      <c r="S648" s="22">
        <v>12</v>
      </c>
      <c r="T648" s="20" t="s">
        <v>2455</v>
      </c>
    </row>
    <row r="649" spans="1:20" ht="23.25" customHeight="1" x14ac:dyDescent="0.25">
      <c r="A649" s="21" t="s">
        <v>2645</v>
      </c>
      <c r="B649" s="24">
        <v>2025</v>
      </c>
      <c r="C649" s="92" t="s">
        <v>21</v>
      </c>
      <c r="D649" s="24" t="s">
        <v>2646</v>
      </c>
      <c r="E649" s="30" t="s">
        <v>2647</v>
      </c>
      <c r="F649" s="31" t="s">
        <v>23</v>
      </c>
      <c r="G649" s="46" t="s">
        <v>199</v>
      </c>
      <c r="H649" s="263" t="s">
        <v>2648</v>
      </c>
      <c r="I649" s="39">
        <v>45978</v>
      </c>
      <c r="J649" s="39">
        <v>45979</v>
      </c>
      <c r="K649" s="24" t="s">
        <v>35</v>
      </c>
      <c r="L649" s="26"/>
      <c r="M649" s="87">
        <v>4.82</v>
      </c>
      <c r="N649" s="40"/>
      <c r="O649" s="25">
        <v>72</v>
      </c>
      <c r="P649" s="25">
        <v>0</v>
      </c>
      <c r="Q649" s="25">
        <v>0</v>
      </c>
      <c r="R649" s="25">
        <f t="shared" si="11"/>
        <v>72</v>
      </c>
      <c r="S649" s="24">
        <v>8</v>
      </c>
      <c r="T649" s="46" t="s">
        <v>2649</v>
      </c>
    </row>
    <row r="650" spans="1:20" ht="23.25" customHeight="1" x14ac:dyDescent="0.25">
      <c r="A650" s="20" t="s">
        <v>2650</v>
      </c>
      <c r="B650" s="22">
        <v>2025</v>
      </c>
      <c r="C650" s="92" t="s">
        <v>21</v>
      </c>
      <c r="D650" s="22" t="s">
        <v>2651</v>
      </c>
      <c r="E650" s="82" t="s">
        <v>2652</v>
      </c>
      <c r="F650" s="29" t="s">
        <v>23</v>
      </c>
      <c r="G650" s="20" t="s">
        <v>38</v>
      </c>
      <c r="H650" s="36" t="s">
        <v>2653</v>
      </c>
      <c r="I650" s="37">
        <v>45985</v>
      </c>
      <c r="J650" s="37">
        <v>45987</v>
      </c>
      <c r="K650" s="22" t="s">
        <v>35</v>
      </c>
      <c r="L650" s="28"/>
      <c r="M650" s="86">
        <v>4.8</v>
      </c>
      <c r="N650" s="41">
        <v>20</v>
      </c>
      <c r="O650" s="23">
        <v>16</v>
      </c>
      <c r="P650" s="23">
        <v>0</v>
      </c>
      <c r="Q650" s="23">
        <v>0</v>
      </c>
      <c r="R650" s="23">
        <f>SUM(Tabela2[[#This Row],[P. Servidores]:[P. Sociedade]])</f>
        <v>16</v>
      </c>
      <c r="S650" s="22">
        <v>12</v>
      </c>
      <c r="T650" s="20" t="s">
        <v>2654</v>
      </c>
    </row>
    <row r="651" spans="1:20" ht="23.25" customHeight="1" x14ac:dyDescent="0.25">
      <c r="A651" s="21" t="s">
        <v>2655</v>
      </c>
      <c r="B651" s="24">
        <v>2025</v>
      </c>
      <c r="C651" s="92" t="s">
        <v>21</v>
      </c>
      <c r="D651" s="24" t="s">
        <v>2656</v>
      </c>
      <c r="E651" s="30" t="s">
        <v>2657</v>
      </c>
      <c r="F651" s="31" t="s">
        <v>23</v>
      </c>
      <c r="G651" s="21" t="s">
        <v>24</v>
      </c>
      <c r="H651" s="76" t="s">
        <v>2658</v>
      </c>
      <c r="I651" s="39">
        <v>45985</v>
      </c>
      <c r="J651" s="39">
        <v>45989</v>
      </c>
      <c r="K651" s="24" t="s">
        <v>26</v>
      </c>
      <c r="L651" s="26">
        <v>6600</v>
      </c>
      <c r="M651" s="87">
        <v>4.8899999999999997</v>
      </c>
      <c r="N651" s="40">
        <v>30</v>
      </c>
      <c r="O651" s="25">
        <v>20</v>
      </c>
      <c r="P651" s="25">
        <v>0</v>
      </c>
      <c r="Q651" s="25">
        <v>0</v>
      </c>
      <c r="R651" s="25">
        <f>SUM(O651:Q651)</f>
        <v>20</v>
      </c>
      <c r="S651" s="24">
        <v>12</v>
      </c>
      <c r="T651" s="78" t="s">
        <v>2659</v>
      </c>
    </row>
    <row r="652" spans="1:20" ht="23.25" customHeight="1" x14ac:dyDescent="0.25">
      <c r="A652" s="20" t="s">
        <v>2660</v>
      </c>
      <c r="B652" s="22">
        <v>2025</v>
      </c>
      <c r="C652" s="90" t="s">
        <v>21</v>
      </c>
      <c r="D652" s="22" t="s">
        <v>2661</v>
      </c>
      <c r="E652" s="82" t="s">
        <v>2662</v>
      </c>
      <c r="F652" s="29" t="s">
        <v>81</v>
      </c>
      <c r="G652" s="20" t="s">
        <v>72</v>
      </c>
      <c r="H652" s="77" t="s">
        <v>2658</v>
      </c>
      <c r="I652" s="37">
        <v>45985</v>
      </c>
      <c r="J652" s="37">
        <v>45989</v>
      </c>
      <c r="K652" s="22" t="s">
        <v>35</v>
      </c>
      <c r="L652" s="28"/>
      <c r="M652" s="86">
        <v>4.5199999999999996</v>
      </c>
      <c r="N652" s="41">
        <v>50</v>
      </c>
      <c r="O652" s="23">
        <v>1</v>
      </c>
      <c r="P652" s="23">
        <v>38</v>
      </c>
      <c r="Q652" s="23">
        <v>15</v>
      </c>
      <c r="R652" s="23">
        <f>SUM(O652:Q652)</f>
        <v>54</v>
      </c>
      <c r="S652" s="22">
        <v>12</v>
      </c>
      <c r="T652" s="20" t="s">
        <v>1207</v>
      </c>
    </row>
    <row r="653" spans="1:20" ht="23.25" customHeight="1" x14ac:dyDescent="0.25">
      <c r="A653" s="21" t="s">
        <v>2663</v>
      </c>
      <c r="B653" s="24">
        <v>2025</v>
      </c>
      <c r="C653" s="92" t="s">
        <v>2664</v>
      </c>
      <c r="D653" s="24" t="s">
        <v>2665</v>
      </c>
      <c r="E653" s="30" t="s">
        <v>2193</v>
      </c>
      <c r="F653" s="31" t="s">
        <v>23</v>
      </c>
      <c r="G653" s="21" t="s">
        <v>33</v>
      </c>
      <c r="H653" s="38" t="s">
        <v>2666</v>
      </c>
      <c r="I653" s="39">
        <v>45992</v>
      </c>
      <c r="J653" s="39">
        <v>45992</v>
      </c>
      <c r="K653" s="24" t="s">
        <v>26</v>
      </c>
      <c r="L653" s="26"/>
      <c r="M653" s="87"/>
      <c r="N653" s="40"/>
      <c r="O653" s="25">
        <v>0</v>
      </c>
      <c r="P653" s="25">
        <v>0</v>
      </c>
      <c r="Q653" s="25">
        <v>0</v>
      </c>
      <c r="R653" s="25">
        <f>SUM(O653:Q653)</f>
        <v>0</v>
      </c>
      <c r="S653" s="24"/>
      <c r="T653" s="21" t="s">
        <v>472</v>
      </c>
    </row>
    <row r="654" spans="1:20" ht="23.25" customHeight="1" x14ac:dyDescent="0.25">
      <c r="A654" s="20" t="s">
        <v>2667</v>
      </c>
      <c r="B654" s="22">
        <v>2025</v>
      </c>
      <c r="C654" s="90" t="s">
        <v>21</v>
      </c>
      <c r="D654" s="22" t="s">
        <v>2668</v>
      </c>
      <c r="E654" s="27" t="s">
        <v>2669</v>
      </c>
      <c r="F654" s="29" t="s">
        <v>23</v>
      </c>
      <c r="G654" s="20" t="s">
        <v>38</v>
      </c>
      <c r="H654" s="77" t="s">
        <v>2670</v>
      </c>
      <c r="I654" s="37">
        <v>45994</v>
      </c>
      <c r="J654" s="37">
        <v>46001</v>
      </c>
      <c r="K654" s="22" t="s">
        <v>35</v>
      </c>
      <c r="L654" s="28"/>
      <c r="M654" s="86">
        <v>4.93</v>
      </c>
      <c r="N654" s="41">
        <v>15</v>
      </c>
      <c r="O654" s="23">
        <v>15</v>
      </c>
      <c r="P654" s="23">
        <v>0</v>
      </c>
      <c r="Q654" s="23">
        <v>0</v>
      </c>
      <c r="R654" s="23">
        <f>SUM(Tabela2[[#This Row],[P. Servidores]:[P. Sociedade]])</f>
        <v>15</v>
      </c>
      <c r="S654" s="22">
        <v>12</v>
      </c>
      <c r="T654" s="20" t="s">
        <v>1785</v>
      </c>
    </row>
    <row r="655" spans="1:20" ht="23.25" customHeight="1" x14ac:dyDescent="0.25">
      <c r="A655" s="21" t="s">
        <v>2671</v>
      </c>
      <c r="B655" s="24">
        <v>2025</v>
      </c>
      <c r="C655" s="90" t="s">
        <v>21</v>
      </c>
      <c r="D655" s="24" t="s">
        <v>2672</v>
      </c>
      <c r="E655" s="30" t="s">
        <v>2673</v>
      </c>
      <c r="F655" s="31" t="s">
        <v>23</v>
      </c>
      <c r="G655" s="21" t="s">
        <v>199</v>
      </c>
      <c r="H655" s="38" t="s">
        <v>2674</v>
      </c>
      <c r="I655" s="39">
        <v>46006</v>
      </c>
      <c r="J655" s="39">
        <v>46006</v>
      </c>
      <c r="K655" s="24" t="s">
        <v>26</v>
      </c>
      <c r="L655" s="26">
        <v>9900</v>
      </c>
      <c r="M655" s="87"/>
      <c r="N655" s="40"/>
      <c r="O655" s="25">
        <v>0</v>
      </c>
      <c r="P655" s="25">
        <v>0</v>
      </c>
      <c r="Q655" s="25">
        <v>0</v>
      </c>
      <c r="R655" s="25">
        <f>SUM(O655:Q655)</f>
        <v>0</v>
      </c>
      <c r="S655" s="24"/>
      <c r="T655" s="21"/>
    </row>
    <row r="656" spans="1:20" ht="23.25" customHeight="1" x14ac:dyDescent="0.25">
      <c r="A656" s="20" t="s">
        <v>2675</v>
      </c>
      <c r="B656" s="22">
        <v>2025</v>
      </c>
      <c r="C656" s="90" t="s">
        <v>21</v>
      </c>
      <c r="D656" s="22" t="s">
        <v>2676</v>
      </c>
      <c r="E656" s="27" t="s">
        <v>2677</v>
      </c>
      <c r="F656" s="29" t="s">
        <v>81</v>
      </c>
      <c r="G656" s="20" t="s">
        <v>72</v>
      </c>
      <c r="H656" s="50" t="s">
        <v>2678</v>
      </c>
      <c r="I656" s="37">
        <v>46011</v>
      </c>
      <c r="J656" s="37">
        <v>46011</v>
      </c>
      <c r="K656" s="22" t="s">
        <v>35</v>
      </c>
      <c r="L656" s="28">
        <v>0</v>
      </c>
      <c r="M656" s="86">
        <v>5</v>
      </c>
      <c r="N656" s="41">
        <v>25</v>
      </c>
      <c r="O656" s="23">
        <v>0</v>
      </c>
      <c r="P656" s="23">
        <v>0</v>
      </c>
      <c r="Q656" s="23">
        <v>25</v>
      </c>
      <c r="R656" s="23">
        <f>SUM(Tabela2[[#This Row],[P. Servidores]:[P. Sociedade]])</f>
        <v>25</v>
      </c>
      <c r="S656" s="22">
        <v>1</v>
      </c>
      <c r="T656" s="20" t="s">
        <v>1023</v>
      </c>
    </row>
    <row r="657" spans="1:20" ht="23.25" customHeight="1" x14ac:dyDescent="0.25">
      <c r="A657" s="21" t="str">
        <f>IF(B657="","",B657&amp;"-"&amp;TEXT(COUNTIF(B$2:B657,B657),"000"))</f>
        <v>2026-001</v>
      </c>
      <c r="B657" s="24">
        <v>2026</v>
      </c>
      <c r="C657" s="226" t="s">
        <v>21</v>
      </c>
      <c r="D657" s="24" t="s">
        <v>2679</v>
      </c>
      <c r="E657" s="30" t="s">
        <v>2131</v>
      </c>
      <c r="F657" s="31" t="s">
        <v>62</v>
      </c>
      <c r="G657" s="21" t="s">
        <v>72</v>
      </c>
      <c r="H657" s="38" t="s">
        <v>2680</v>
      </c>
      <c r="I657" s="39">
        <v>46042</v>
      </c>
      <c r="J657" s="39">
        <v>46044</v>
      </c>
      <c r="K657" s="24" t="s">
        <v>35</v>
      </c>
      <c r="L657" s="26">
        <v>4533.88</v>
      </c>
      <c r="M657" s="87">
        <v>4.82</v>
      </c>
      <c r="N657" s="40">
        <v>50</v>
      </c>
      <c r="O657" s="25">
        <v>0</v>
      </c>
      <c r="P657" s="25">
        <v>55</v>
      </c>
      <c r="Q657" s="25">
        <v>0</v>
      </c>
      <c r="R657" s="25">
        <f>SUM(Tabela2[[#This Row],[P. Servidores]:[P. Sociedade]])</f>
        <v>55</v>
      </c>
      <c r="S657" s="24">
        <v>8</v>
      </c>
      <c r="T657" s="21" t="s">
        <v>1472</v>
      </c>
    </row>
    <row r="658" spans="1:20" ht="23.25" customHeight="1" x14ac:dyDescent="0.25">
      <c r="A658" s="20" t="str">
        <f>IF(B658="","",B658&amp;"-"&amp;TEXT(COUNTIF(B$2:B658,B658),"000"))</f>
        <v>2026-002</v>
      </c>
      <c r="B658" s="22">
        <v>2026</v>
      </c>
      <c r="C658" s="226" t="s">
        <v>21</v>
      </c>
      <c r="D658" s="22" t="s">
        <v>2681</v>
      </c>
      <c r="E658" s="27" t="s">
        <v>2682</v>
      </c>
      <c r="F658" s="29" t="s">
        <v>23</v>
      </c>
      <c r="G658" s="20" t="s">
        <v>199</v>
      </c>
      <c r="H658" s="36" t="s">
        <v>2683</v>
      </c>
      <c r="I658" s="37">
        <v>46045</v>
      </c>
      <c r="J658" s="37">
        <v>46045</v>
      </c>
      <c r="K658" s="22" t="s">
        <v>35</v>
      </c>
      <c r="L658" s="28">
        <v>5427.88</v>
      </c>
      <c r="M658" s="195"/>
      <c r="N658" s="41">
        <v>80</v>
      </c>
      <c r="O658" s="23">
        <v>0</v>
      </c>
      <c r="P658" s="23">
        <v>0</v>
      </c>
      <c r="Q658" s="23">
        <v>25</v>
      </c>
      <c r="R658" s="23">
        <f>SUM(Tabela2[[#This Row],[P. Servidores]:[P. Sociedade]])</f>
        <v>25</v>
      </c>
      <c r="S658" s="22">
        <v>4</v>
      </c>
      <c r="T658" s="43" t="s">
        <v>2990</v>
      </c>
    </row>
    <row r="659" spans="1:20" ht="23.25" customHeight="1" x14ac:dyDescent="0.25">
      <c r="A659" s="21" t="str">
        <f>IF(B659="","",B659&amp;"-"&amp;TEXT(COUNTIF(B$2:B659,B659),"000"))</f>
        <v>2026-003</v>
      </c>
      <c r="B659" s="24">
        <v>2026</v>
      </c>
      <c r="C659" s="226" t="s">
        <v>21</v>
      </c>
      <c r="D659" s="24" t="s">
        <v>2684</v>
      </c>
      <c r="E659" s="30" t="s">
        <v>2685</v>
      </c>
      <c r="F659" s="31" t="s">
        <v>23</v>
      </c>
      <c r="G659" s="21" t="s">
        <v>38</v>
      </c>
      <c r="H659" s="76" t="s">
        <v>2686</v>
      </c>
      <c r="I659" s="39">
        <v>46048</v>
      </c>
      <c r="J659" s="39">
        <v>46063</v>
      </c>
      <c r="K659" s="24" t="s">
        <v>26</v>
      </c>
      <c r="L659" s="26">
        <v>31500</v>
      </c>
      <c r="M659" s="87">
        <v>4.82</v>
      </c>
      <c r="N659" s="40">
        <v>30</v>
      </c>
      <c r="O659" s="25">
        <v>23</v>
      </c>
      <c r="P659" s="25">
        <v>0</v>
      </c>
      <c r="Q659" s="25">
        <v>0</v>
      </c>
      <c r="R659" s="25">
        <f>SUM(Tabela2[[#This Row],[P. Servidores]:[P. Sociedade]])</f>
        <v>23</v>
      </c>
      <c r="S659" s="24">
        <v>42</v>
      </c>
      <c r="T659" s="21" t="s">
        <v>2687</v>
      </c>
    </row>
    <row r="660" spans="1:20" ht="23.25" customHeight="1" x14ac:dyDescent="0.25">
      <c r="A660" s="20" t="str">
        <f>IF(B660="","",B660&amp;"-"&amp;TEXT(COUNTIF(B$2:B660,B660),"000"))</f>
        <v>2026-004</v>
      </c>
      <c r="B660" s="22">
        <v>2026</v>
      </c>
      <c r="C660" s="226" t="s">
        <v>21</v>
      </c>
      <c r="D660" s="22" t="s">
        <v>2688</v>
      </c>
      <c r="E660" s="27" t="s">
        <v>2689</v>
      </c>
      <c r="F660" s="29" t="s">
        <v>62</v>
      </c>
      <c r="G660" s="20" t="s">
        <v>2690</v>
      </c>
      <c r="H660" s="36" t="s">
        <v>2691</v>
      </c>
      <c r="I660" s="37">
        <v>46078</v>
      </c>
      <c r="J660" s="37">
        <v>46080</v>
      </c>
      <c r="K660" s="22" t="s">
        <v>35</v>
      </c>
      <c r="L660" s="28">
        <v>9211.69</v>
      </c>
      <c r="M660" s="86">
        <v>4.7699999999999996</v>
      </c>
      <c r="N660" s="41">
        <v>20</v>
      </c>
      <c r="O660" s="23">
        <v>0</v>
      </c>
      <c r="P660" s="23">
        <v>44</v>
      </c>
      <c r="Q660" s="23">
        <v>0</v>
      </c>
      <c r="R660" s="23">
        <f>SUM(Tabela2[[#This Row],[P. Servidores]:[P. Sociedade]])</f>
        <v>44</v>
      </c>
      <c r="S660" s="22">
        <v>12</v>
      </c>
      <c r="T660" s="20" t="s">
        <v>2692</v>
      </c>
    </row>
    <row r="661" spans="1:20" ht="23.25" customHeight="1" x14ac:dyDescent="0.25">
      <c r="A661" s="21" t="str">
        <f>IF(B661="","",B661&amp;"-"&amp;TEXT(COUNTIF(B$2:B661,B661),"000"))</f>
        <v>2026-005</v>
      </c>
      <c r="B661" s="24">
        <v>2026</v>
      </c>
      <c r="C661" s="226" t="s">
        <v>21</v>
      </c>
      <c r="D661" s="38" t="s">
        <v>2693</v>
      </c>
      <c r="E661" s="30" t="s">
        <v>2694</v>
      </c>
      <c r="F661" s="31" t="s">
        <v>23</v>
      </c>
      <c r="G661" s="46" t="s">
        <v>2695</v>
      </c>
      <c r="H661" s="38" t="s">
        <v>2696</v>
      </c>
      <c r="I661" s="39">
        <v>46078</v>
      </c>
      <c r="J661" s="39">
        <v>46083</v>
      </c>
      <c r="K661" s="24" t="s">
        <v>35</v>
      </c>
      <c r="L661" s="199">
        <v>0</v>
      </c>
      <c r="M661" s="87">
        <v>4.76</v>
      </c>
      <c r="N661" s="40">
        <v>20</v>
      </c>
      <c r="O661" s="25">
        <v>18</v>
      </c>
      <c r="P661" s="25">
        <v>0</v>
      </c>
      <c r="Q661" s="25">
        <v>0</v>
      </c>
      <c r="R661" s="25">
        <f>SUM(Tabela2[[#This Row],[P. Servidores]:[P. Sociedade]])</f>
        <v>18</v>
      </c>
      <c r="S661" s="24">
        <v>16</v>
      </c>
      <c r="T661" s="21" t="s">
        <v>2697</v>
      </c>
    </row>
    <row r="662" spans="1:20" ht="23.25" customHeight="1" x14ac:dyDescent="0.25">
      <c r="A662" s="20" t="str">
        <f>IF(B662="","",B662&amp;"-"&amp;TEXT(COUNTIF(B$2:B662,B662),"000"))</f>
        <v>2026-006</v>
      </c>
      <c r="B662" s="22">
        <v>2026</v>
      </c>
      <c r="C662" s="226" t="s">
        <v>21</v>
      </c>
      <c r="D662" s="22" t="s">
        <v>2698</v>
      </c>
      <c r="E662" s="27" t="s">
        <v>2699</v>
      </c>
      <c r="F662" s="29" t="s">
        <v>62</v>
      </c>
      <c r="G662" s="20" t="s">
        <v>2690</v>
      </c>
      <c r="H662" s="165" t="s">
        <v>2700</v>
      </c>
      <c r="I662" s="37">
        <v>46085</v>
      </c>
      <c r="J662" s="37">
        <v>46087</v>
      </c>
      <c r="K662" s="22" t="s">
        <v>35</v>
      </c>
      <c r="L662" s="28">
        <v>9416</v>
      </c>
      <c r="M662" s="86">
        <v>4.9000000000000004</v>
      </c>
      <c r="N662" s="23">
        <v>20</v>
      </c>
      <c r="O662" s="23">
        <v>0</v>
      </c>
      <c r="P662" s="23">
        <v>20</v>
      </c>
      <c r="Q662" s="23">
        <v>0</v>
      </c>
      <c r="R662" s="23">
        <f t="shared" ref="R662:R668" si="12">SUM(O662:Q662)</f>
        <v>20</v>
      </c>
      <c r="S662" s="22">
        <v>12</v>
      </c>
      <c r="T662" s="54" t="s">
        <v>2701</v>
      </c>
    </row>
    <row r="663" spans="1:20" ht="23.25" customHeight="1" x14ac:dyDescent="0.25">
      <c r="A663" s="21" t="str">
        <f>IF(B663="","",B663&amp;"-"&amp;TEXT(COUNTIF(B$2:B663,B663),"000"))</f>
        <v>2026-007</v>
      </c>
      <c r="B663" s="24">
        <v>2026</v>
      </c>
      <c r="C663" s="226" t="s">
        <v>21</v>
      </c>
      <c r="D663" s="38" t="s">
        <v>2702</v>
      </c>
      <c r="E663" s="30" t="s">
        <v>2703</v>
      </c>
      <c r="F663" s="31" t="s">
        <v>62</v>
      </c>
      <c r="G663" s="21" t="s">
        <v>72</v>
      </c>
      <c r="H663" s="38" t="s">
        <v>2704</v>
      </c>
      <c r="I663" s="39">
        <v>46090</v>
      </c>
      <c r="J663" s="39">
        <v>46094</v>
      </c>
      <c r="K663" s="24" t="s">
        <v>35</v>
      </c>
      <c r="L663" s="26">
        <v>12813.06</v>
      </c>
      <c r="M663" s="87">
        <v>4.93</v>
      </c>
      <c r="N663" s="40">
        <v>20</v>
      </c>
      <c r="O663" s="25">
        <v>8</v>
      </c>
      <c r="P663" s="25">
        <v>11</v>
      </c>
      <c r="Q663" s="25">
        <v>0</v>
      </c>
      <c r="R663" s="25">
        <f t="shared" si="12"/>
        <v>19</v>
      </c>
      <c r="S663" s="24">
        <v>20</v>
      </c>
      <c r="T663" s="21" t="s">
        <v>74</v>
      </c>
    </row>
    <row r="664" spans="1:20" ht="23.25" customHeight="1" x14ac:dyDescent="0.25">
      <c r="A664" s="20" t="str">
        <f>IF(B664="","",B664&amp;"-"&amp;TEXT(COUNTIF(B$2:B664,B664),"000"))</f>
        <v>2026-008</v>
      </c>
      <c r="B664" s="22">
        <v>2026</v>
      </c>
      <c r="C664" s="226" t="s">
        <v>21</v>
      </c>
      <c r="D664" s="22" t="s">
        <v>2705</v>
      </c>
      <c r="E664" s="27" t="s">
        <v>2706</v>
      </c>
      <c r="F664" s="29" t="s">
        <v>23</v>
      </c>
      <c r="G664" s="54" t="s">
        <v>364</v>
      </c>
      <c r="H664" s="36" t="s">
        <v>2707</v>
      </c>
      <c r="I664" s="37">
        <v>46097</v>
      </c>
      <c r="J664" s="37">
        <v>46101</v>
      </c>
      <c r="K664" s="22" t="s">
        <v>35</v>
      </c>
      <c r="L664" s="28">
        <v>16717.68</v>
      </c>
      <c r="M664" s="86">
        <v>4.8600000000000003</v>
      </c>
      <c r="N664" s="41">
        <v>33</v>
      </c>
      <c r="O664" s="23">
        <v>33</v>
      </c>
      <c r="P664" s="23">
        <v>0</v>
      </c>
      <c r="Q664" s="23">
        <v>0</v>
      </c>
      <c r="R664" s="23">
        <f t="shared" si="12"/>
        <v>33</v>
      </c>
      <c r="S664" s="22">
        <v>20</v>
      </c>
      <c r="T664" s="54" t="s">
        <v>2708</v>
      </c>
    </row>
    <row r="665" spans="1:20" ht="23.25" customHeight="1" x14ac:dyDescent="0.25">
      <c r="A665" s="21" t="str">
        <f>IF(B665="","",B665&amp;"-"&amp;TEXT(COUNTIF(B$2:B665,B665),"000"))</f>
        <v>2026-009</v>
      </c>
      <c r="B665" s="24">
        <v>2026</v>
      </c>
      <c r="C665" s="226" t="s">
        <v>21</v>
      </c>
      <c r="D665" s="24" t="s">
        <v>2709</v>
      </c>
      <c r="E665" s="30" t="s">
        <v>2710</v>
      </c>
      <c r="F665" s="31" t="s">
        <v>23</v>
      </c>
      <c r="G665" s="46" t="s">
        <v>2711</v>
      </c>
      <c r="H665" s="38" t="s">
        <v>2712</v>
      </c>
      <c r="I665" s="39">
        <v>46098</v>
      </c>
      <c r="J665" s="39">
        <v>46100</v>
      </c>
      <c r="K665" s="24" t="s">
        <v>35</v>
      </c>
      <c r="L665" s="26">
        <v>4533.88</v>
      </c>
      <c r="M665" s="87">
        <v>4.9000000000000004</v>
      </c>
      <c r="N665" s="40">
        <v>20</v>
      </c>
      <c r="O665" s="25">
        <v>20</v>
      </c>
      <c r="P665" s="25">
        <v>0</v>
      </c>
      <c r="Q665" s="25">
        <v>0</v>
      </c>
      <c r="R665" s="25">
        <f t="shared" si="12"/>
        <v>20</v>
      </c>
      <c r="S665" s="24">
        <v>8</v>
      </c>
      <c r="T665" s="21" t="s">
        <v>2713</v>
      </c>
    </row>
    <row r="666" spans="1:20" ht="32.25" customHeight="1" x14ac:dyDescent="0.25">
      <c r="A666" s="20" t="str">
        <f>IF(B666="","",B666&amp;"-"&amp;TEXT(COUNTIF(B$2:B666,B666),"000"))</f>
        <v>2026-010</v>
      </c>
      <c r="B666" s="22">
        <v>2026</v>
      </c>
      <c r="C666" s="226" t="s">
        <v>21</v>
      </c>
      <c r="D666" s="36" t="s">
        <v>2702</v>
      </c>
      <c r="E666" s="27" t="s">
        <v>2714</v>
      </c>
      <c r="F666" s="29" t="s">
        <v>62</v>
      </c>
      <c r="G666" s="20" t="s">
        <v>72</v>
      </c>
      <c r="H666" s="36" t="s">
        <v>2715</v>
      </c>
      <c r="I666" s="37">
        <v>46104</v>
      </c>
      <c r="J666" s="37">
        <v>46108</v>
      </c>
      <c r="K666" s="22" t="s">
        <v>35</v>
      </c>
      <c r="L666" s="28">
        <v>12813.06</v>
      </c>
      <c r="M666" s="86">
        <v>4.79</v>
      </c>
      <c r="N666" s="41">
        <v>20</v>
      </c>
      <c r="O666" s="23">
        <v>0</v>
      </c>
      <c r="P666" s="23">
        <v>20</v>
      </c>
      <c r="Q666" s="23">
        <v>0</v>
      </c>
      <c r="R666" s="23">
        <f t="shared" si="12"/>
        <v>20</v>
      </c>
      <c r="S666" s="22">
        <v>20</v>
      </c>
      <c r="T666" s="20" t="s">
        <v>74</v>
      </c>
    </row>
    <row r="667" spans="1:20" ht="23.25" customHeight="1" x14ac:dyDescent="0.25">
      <c r="A667" s="21" t="str">
        <f>IF(B667="","",B667&amp;"-"&amp;TEXT(COUNTIF(B$2:B667,B667),"000"))</f>
        <v>2026-011</v>
      </c>
      <c r="B667" s="24">
        <v>2026</v>
      </c>
      <c r="C667" s="226" t="s">
        <v>21</v>
      </c>
      <c r="D667" s="24" t="s">
        <v>2716</v>
      </c>
      <c r="E667" s="30" t="s">
        <v>2717</v>
      </c>
      <c r="F667" s="31" t="s">
        <v>62</v>
      </c>
      <c r="G667" s="21" t="s">
        <v>72</v>
      </c>
      <c r="H667" s="24" t="s">
        <v>2718</v>
      </c>
      <c r="I667" s="39">
        <v>46105</v>
      </c>
      <c r="J667" s="39">
        <v>46105</v>
      </c>
      <c r="K667" s="24" t="s">
        <v>26</v>
      </c>
      <c r="L667" s="199">
        <v>0</v>
      </c>
      <c r="M667" s="195"/>
      <c r="N667" s="25">
        <v>170</v>
      </c>
      <c r="O667" s="25">
        <v>42</v>
      </c>
      <c r="P667" s="25">
        <v>71</v>
      </c>
      <c r="Q667" s="25">
        <v>14</v>
      </c>
      <c r="R667" s="25">
        <f t="shared" si="12"/>
        <v>127</v>
      </c>
      <c r="S667" s="24">
        <v>4</v>
      </c>
      <c r="T667" s="21" t="s">
        <v>472</v>
      </c>
    </row>
    <row r="668" spans="1:20" ht="33" customHeight="1" x14ac:dyDescent="0.25">
      <c r="A668" s="20" t="str">
        <f>IF(B668="","",B668&amp;"-"&amp;TEXT(COUNTIF(B$2:B668,B668),"000"))</f>
        <v>2026-012</v>
      </c>
      <c r="B668" s="22">
        <v>2026</v>
      </c>
      <c r="C668" s="270" t="s">
        <v>21</v>
      </c>
      <c r="D668" s="22" t="s">
        <v>2719</v>
      </c>
      <c r="E668" s="27" t="s">
        <v>2720</v>
      </c>
      <c r="F668" s="29" t="s">
        <v>62</v>
      </c>
      <c r="G668" s="20" t="s">
        <v>72</v>
      </c>
      <c r="H668" s="36" t="s">
        <v>2721</v>
      </c>
      <c r="I668" s="37">
        <v>46111</v>
      </c>
      <c r="J668" s="37">
        <v>46112</v>
      </c>
      <c r="K668" s="22" t="s">
        <v>26</v>
      </c>
      <c r="L668" s="199"/>
      <c r="M668" s="86">
        <v>4.8899999999999997</v>
      </c>
      <c r="N668" s="41">
        <v>200</v>
      </c>
      <c r="O668" s="23">
        <v>58</v>
      </c>
      <c r="P668" s="23">
        <v>100</v>
      </c>
      <c r="Q668" s="23">
        <v>34</v>
      </c>
      <c r="R668" s="23">
        <f t="shared" si="12"/>
        <v>192</v>
      </c>
      <c r="S668" s="22">
        <v>14</v>
      </c>
      <c r="T668" s="20" t="s">
        <v>472</v>
      </c>
    </row>
    <row r="669" spans="1:20" ht="23.25" customHeight="1" x14ac:dyDescent="0.25">
      <c r="A669" s="21" t="str">
        <f>IF(B669="","",B669&amp;"-"&amp;TEXT(COUNTIF(B$2:B669,B669),"000"))</f>
        <v>2026-013</v>
      </c>
      <c r="B669" s="24">
        <v>2026</v>
      </c>
      <c r="C669" s="226" t="s">
        <v>21</v>
      </c>
      <c r="D669" s="166" t="s">
        <v>2722</v>
      </c>
      <c r="E669" s="30" t="s">
        <v>2723</v>
      </c>
      <c r="F669" s="31" t="s">
        <v>62</v>
      </c>
      <c r="G669" s="167" t="s">
        <v>2690</v>
      </c>
      <c r="H669" s="168" t="s">
        <v>2724</v>
      </c>
      <c r="I669" s="169">
        <v>46120</v>
      </c>
      <c r="J669" s="169">
        <v>46122</v>
      </c>
      <c r="K669" s="24" t="s">
        <v>35</v>
      </c>
      <c r="L669" s="26">
        <v>9211.69</v>
      </c>
      <c r="M669" s="196">
        <v>4.95</v>
      </c>
      <c r="N669" s="170">
        <v>20</v>
      </c>
      <c r="O669" s="171">
        <v>0</v>
      </c>
      <c r="P669" s="171">
        <v>27</v>
      </c>
      <c r="Q669" s="171">
        <v>0</v>
      </c>
      <c r="R669" s="171">
        <v>27</v>
      </c>
      <c r="S669" s="166">
        <v>12</v>
      </c>
      <c r="T669" s="46" t="s">
        <v>2701</v>
      </c>
    </row>
    <row r="670" spans="1:20" ht="33" customHeight="1" x14ac:dyDescent="0.25">
      <c r="A670" s="20" t="str">
        <f>IF(B670="","",B670&amp;"-"&amp;TEXT(COUNTIF(B$2:B670,B670),"000"))</f>
        <v>2026-014</v>
      </c>
      <c r="B670" s="22">
        <v>2026</v>
      </c>
      <c r="C670" s="226" t="s">
        <v>21</v>
      </c>
      <c r="D670" s="172" t="s">
        <v>2725</v>
      </c>
      <c r="E670" s="173" t="s">
        <v>2726</v>
      </c>
      <c r="F670" s="29" t="s">
        <v>81</v>
      </c>
      <c r="G670" s="20" t="s">
        <v>2727</v>
      </c>
      <c r="H670" s="174" t="s">
        <v>2728</v>
      </c>
      <c r="I670" s="175">
        <v>46125</v>
      </c>
      <c r="J670" s="175">
        <v>46128</v>
      </c>
      <c r="K670" s="22" t="s">
        <v>26</v>
      </c>
      <c r="L670" s="176">
        <v>10500</v>
      </c>
      <c r="M670" s="196">
        <v>4.75</v>
      </c>
      <c r="N670" s="177">
        <v>80</v>
      </c>
      <c r="O670" s="178">
        <v>0</v>
      </c>
      <c r="P670" s="178">
        <v>0</v>
      </c>
      <c r="Q670" s="178">
        <v>57</v>
      </c>
      <c r="R670" s="178">
        <v>57</v>
      </c>
      <c r="S670" s="172">
        <v>16</v>
      </c>
      <c r="T670" s="179" t="s">
        <v>2115</v>
      </c>
    </row>
    <row r="671" spans="1:20" ht="23.25" customHeight="1" x14ac:dyDescent="0.25">
      <c r="A671" s="21" t="str">
        <f>IF(B671="","",B671&amp;"-"&amp;TEXT(COUNTIF(B$2:B671,B671),"000"))</f>
        <v>2026-015</v>
      </c>
      <c r="B671" s="24">
        <v>2026</v>
      </c>
      <c r="C671" s="226" t="s">
        <v>21</v>
      </c>
      <c r="D671" s="24" t="s">
        <v>2709</v>
      </c>
      <c r="E671" s="30" t="s">
        <v>2729</v>
      </c>
      <c r="F671" s="31" t="s">
        <v>23</v>
      </c>
      <c r="G671" s="46" t="s">
        <v>2711</v>
      </c>
      <c r="H671" s="38" t="s">
        <v>2730</v>
      </c>
      <c r="I671" s="39">
        <v>46127</v>
      </c>
      <c r="J671" s="39">
        <v>46129</v>
      </c>
      <c r="K671" s="24" t="s">
        <v>35</v>
      </c>
      <c r="L671" s="26">
        <v>9067.76</v>
      </c>
      <c r="M671" s="195">
        <v>4.78</v>
      </c>
      <c r="N671" s="40">
        <v>20</v>
      </c>
      <c r="O671" s="25">
        <v>22</v>
      </c>
      <c r="P671" s="25">
        <v>0</v>
      </c>
      <c r="Q671" s="25">
        <v>0</v>
      </c>
      <c r="R671" s="25">
        <f t="shared" ref="R671:R684" si="13">SUM(O671:Q671)</f>
        <v>22</v>
      </c>
      <c r="S671" s="24">
        <v>8</v>
      </c>
      <c r="T671" s="21" t="s">
        <v>2731</v>
      </c>
    </row>
    <row r="672" spans="1:20" ht="23.25" customHeight="1" x14ac:dyDescent="0.25">
      <c r="A672" s="20" t="str">
        <f>IF(B672="","",B672&amp;"-"&amp;TEXT(COUNTIF(B$2:B672,B672),"000"))</f>
        <v>2026-016</v>
      </c>
      <c r="B672" s="22">
        <v>2026</v>
      </c>
      <c r="C672" s="226" t="s">
        <v>21</v>
      </c>
      <c r="D672" s="172" t="s">
        <v>2732</v>
      </c>
      <c r="E672" s="173" t="s">
        <v>2733</v>
      </c>
      <c r="F672" s="29" t="s">
        <v>23</v>
      </c>
      <c r="G672" s="54" t="s">
        <v>2711</v>
      </c>
      <c r="H672" s="174" t="s">
        <v>2734</v>
      </c>
      <c r="I672" s="175">
        <v>46128</v>
      </c>
      <c r="J672" s="175">
        <v>46128</v>
      </c>
      <c r="K672" s="22" t="s">
        <v>35</v>
      </c>
      <c r="L672" s="200">
        <v>1133.47</v>
      </c>
      <c r="M672" s="196">
        <v>5</v>
      </c>
      <c r="N672" s="177">
        <v>1</v>
      </c>
      <c r="O672" s="178">
        <v>1</v>
      </c>
      <c r="P672" s="178">
        <v>0</v>
      </c>
      <c r="Q672" s="178">
        <v>0</v>
      </c>
      <c r="R672" s="178">
        <f t="shared" si="13"/>
        <v>1</v>
      </c>
      <c r="S672" s="172">
        <v>2</v>
      </c>
      <c r="T672" s="20" t="s">
        <v>2731</v>
      </c>
    </row>
    <row r="673" spans="1:20" ht="23.25" customHeight="1" x14ac:dyDescent="0.25">
      <c r="A673" s="21" t="str">
        <f>IF(B673="","",B673&amp;"-"&amp;TEXT(COUNTIF(B$2:B673,B673),"000"))</f>
        <v>2026-017</v>
      </c>
      <c r="B673" s="24">
        <v>2026</v>
      </c>
      <c r="C673" s="226" t="s">
        <v>21</v>
      </c>
      <c r="D673" s="24" t="s">
        <v>2735</v>
      </c>
      <c r="E673" s="30" t="s">
        <v>2736</v>
      </c>
      <c r="F673" s="31" t="s">
        <v>23</v>
      </c>
      <c r="G673" s="21" t="s">
        <v>199</v>
      </c>
      <c r="H673" s="59" t="s">
        <v>2737</v>
      </c>
      <c r="I673" s="39">
        <v>46132</v>
      </c>
      <c r="J673" s="39">
        <v>46142</v>
      </c>
      <c r="K673" s="24" t="s">
        <v>35</v>
      </c>
      <c r="L673" s="199"/>
      <c r="M673" s="195"/>
      <c r="N673" s="40"/>
      <c r="O673" s="25"/>
      <c r="P673" s="25"/>
      <c r="Q673" s="25"/>
      <c r="R673" s="25">
        <f t="shared" si="13"/>
        <v>0</v>
      </c>
      <c r="S673" s="24"/>
      <c r="T673" s="46" t="s">
        <v>2738</v>
      </c>
    </row>
    <row r="674" spans="1:20" ht="23.25" customHeight="1" x14ac:dyDescent="0.25">
      <c r="A674" s="20" t="str">
        <f>IF(B674="","",B674&amp;"-"&amp;TEXT(COUNTIF(B$2:B674,B674),"000"))</f>
        <v>2026-018</v>
      </c>
      <c r="B674" s="22">
        <v>2026</v>
      </c>
      <c r="C674" s="22" t="s">
        <v>21</v>
      </c>
      <c r="D674" s="22" t="s">
        <v>2739</v>
      </c>
      <c r="E674" s="27" t="s">
        <v>2626</v>
      </c>
      <c r="F674" s="29" t="s">
        <v>81</v>
      </c>
      <c r="G674" s="48" t="s">
        <v>2727</v>
      </c>
      <c r="H674" s="36" t="s">
        <v>2740</v>
      </c>
      <c r="I674" s="37">
        <v>46136</v>
      </c>
      <c r="J674" s="37">
        <v>46136</v>
      </c>
      <c r="K674" s="22" t="s">
        <v>35</v>
      </c>
      <c r="L674" s="201"/>
      <c r="M674" s="195"/>
      <c r="N674" s="22">
        <v>80</v>
      </c>
      <c r="O674" s="23">
        <v>0</v>
      </c>
      <c r="P674" s="48">
        <v>0</v>
      </c>
      <c r="Q674" s="22">
        <v>80</v>
      </c>
      <c r="R674" s="23">
        <f t="shared" si="13"/>
        <v>80</v>
      </c>
      <c r="S674" s="22">
        <v>4</v>
      </c>
      <c r="T674" s="43" t="s">
        <v>2989</v>
      </c>
    </row>
    <row r="675" spans="1:20" ht="23.25" customHeight="1" x14ac:dyDescent="0.25">
      <c r="A675" s="21" t="str">
        <f>IF(B675="","",B675&amp;"-"&amp;TEXT(COUNTIF(B$2:B675,B675),"000"))</f>
        <v>2026-019</v>
      </c>
      <c r="B675" s="22">
        <v>2026</v>
      </c>
      <c r="C675" s="22" t="s">
        <v>21</v>
      </c>
      <c r="D675" s="22" t="s">
        <v>2739</v>
      </c>
      <c r="E675" s="27" t="s">
        <v>2626</v>
      </c>
      <c r="F675" s="29" t="s">
        <v>81</v>
      </c>
      <c r="G675" s="48" t="s">
        <v>2727</v>
      </c>
      <c r="H675" s="262" t="s">
        <v>2741</v>
      </c>
      <c r="I675" s="276">
        <v>46150</v>
      </c>
      <c r="J675" s="276">
        <v>46150</v>
      </c>
      <c r="K675" s="22" t="s">
        <v>35</v>
      </c>
      <c r="L675" s="201"/>
      <c r="M675" s="195"/>
      <c r="N675" s="22">
        <v>80</v>
      </c>
      <c r="O675" s="23">
        <v>0</v>
      </c>
      <c r="P675" s="48">
        <v>0</v>
      </c>
      <c r="Q675" s="22">
        <v>80</v>
      </c>
      <c r="R675" s="23">
        <f t="shared" si="13"/>
        <v>80</v>
      </c>
      <c r="S675" s="22">
        <v>4</v>
      </c>
      <c r="T675" s="43" t="s">
        <v>2989</v>
      </c>
    </row>
    <row r="676" spans="1:20" ht="23.25" customHeight="1" x14ac:dyDescent="0.25">
      <c r="A676" s="20" t="str">
        <f>IF(B676="","",B676&amp;"-"&amp;TEXT(COUNTIF(B$2:B676,B676),"000"))</f>
        <v>2026-020</v>
      </c>
      <c r="B676" s="24">
        <v>2026</v>
      </c>
      <c r="C676" s="48" t="s">
        <v>2742</v>
      </c>
      <c r="D676" s="24" t="s">
        <v>2743</v>
      </c>
      <c r="E676" s="30" t="s">
        <v>2744</v>
      </c>
      <c r="F676" s="31" t="s">
        <v>23</v>
      </c>
      <c r="G676" s="21" t="s">
        <v>2695</v>
      </c>
      <c r="H676" s="38" t="s">
        <v>2745</v>
      </c>
      <c r="I676" s="39">
        <v>46160</v>
      </c>
      <c r="J676" s="39">
        <v>46163</v>
      </c>
      <c r="K676" s="24" t="s">
        <v>35</v>
      </c>
      <c r="L676" s="199">
        <v>0</v>
      </c>
      <c r="M676" s="195"/>
      <c r="N676" s="25"/>
      <c r="O676" s="25"/>
      <c r="P676" s="25"/>
      <c r="Q676" s="25"/>
      <c r="R676" s="25">
        <f t="shared" si="13"/>
        <v>0</v>
      </c>
      <c r="S676" s="24">
        <v>16</v>
      </c>
      <c r="T676" s="21" t="s">
        <v>2697</v>
      </c>
    </row>
    <row r="677" spans="1:20" ht="23.25" customHeight="1" x14ac:dyDescent="0.25">
      <c r="A677" s="21" t="str">
        <f>IF(B677="","",B677&amp;"-"&amp;TEXT(COUNTIF(B$2:B677,B677),"000"))</f>
        <v>2026-021</v>
      </c>
      <c r="B677" s="24">
        <v>2026</v>
      </c>
      <c r="C677" s="70" t="s">
        <v>21</v>
      </c>
      <c r="D677" s="186" t="s">
        <v>2746</v>
      </c>
      <c r="E677" s="274" t="s">
        <v>2747</v>
      </c>
      <c r="F677" s="188" t="s">
        <v>23</v>
      </c>
      <c r="G677" s="194" t="s">
        <v>38</v>
      </c>
      <c r="H677" s="189" t="s">
        <v>2748</v>
      </c>
      <c r="I677" s="190">
        <v>46163</v>
      </c>
      <c r="J677" s="190">
        <v>46164</v>
      </c>
      <c r="K677" s="166" t="s">
        <v>26</v>
      </c>
      <c r="L677" s="191">
        <v>72500</v>
      </c>
      <c r="M677" s="197"/>
      <c r="N677" s="192">
        <v>150</v>
      </c>
      <c r="O677" s="193">
        <v>72</v>
      </c>
      <c r="P677" s="193">
        <v>23</v>
      </c>
      <c r="Q677" s="193">
        <v>5</v>
      </c>
      <c r="R677" s="193">
        <f t="shared" si="13"/>
        <v>100</v>
      </c>
      <c r="S677" s="186">
        <v>8</v>
      </c>
      <c r="T677" s="167" t="s">
        <v>472</v>
      </c>
    </row>
    <row r="678" spans="1:20" ht="23.25" customHeight="1" x14ac:dyDescent="0.25">
      <c r="A678" s="20" t="str">
        <f>IF(B678="","",B678&amp;"-"&amp;TEXT(COUNTIF(B$2:B678,B678),"000"))</f>
        <v>2026-022</v>
      </c>
      <c r="B678" s="24">
        <v>2026</v>
      </c>
      <c r="C678" s="273" t="s">
        <v>21</v>
      </c>
      <c r="D678" s="64" t="s">
        <v>2749</v>
      </c>
      <c r="E678" s="30" t="s">
        <v>2750</v>
      </c>
      <c r="F678" s="31" t="s">
        <v>23</v>
      </c>
      <c r="G678" s="45" t="s">
        <v>24</v>
      </c>
      <c r="H678" s="189" t="s">
        <v>2751</v>
      </c>
      <c r="I678" s="60">
        <v>46181</v>
      </c>
      <c r="J678" s="60">
        <v>46185</v>
      </c>
      <c r="K678" s="24" t="s">
        <v>35</v>
      </c>
      <c r="L678" s="199">
        <v>16717.689999999999</v>
      </c>
      <c r="M678" s="198">
        <v>4.93</v>
      </c>
      <c r="N678" s="62">
        <v>20</v>
      </c>
      <c r="O678" s="63">
        <v>17</v>
      </c>
      <c r="P678" s="63">
        <v>0</v>
      </c>
      <c r="Q678" s="63">
        <v>0</v>
      </c>
      <c r="R678" s="63">
        <f t="shared" si="13"/>
        <v>17</v>
      </c>
      <c r="S678" s="64">
        <v>20</v>
      </c>
      <c r="T678" s="46" t="s">
        <v>2752</v>
      </c>
    </row>
    <row r="679" spans="1:20" ht="23.25" customHeight="1" x14ac:dyDescent="0.25">
      <c r="A679" s="21" t="str">
        <f>IF(B679="","",B679&amp;"-"&amp;TEXT(COUNTIF(B$2:B679,B679),"000"))</f>
        <v>2026-023</v>
      </c>
      <c r="B679" s="22">
        <v>2026</v>
      </c>
      <c r="C679" s="70" t="s">
        <v>21</v>
      </c>
      <c r="D679" s="180" t="s">
        <v>2753</v>
      </c>
      <c r="E679" s="275" t="s">
        <v>2754</v>
      </c>
      <c r="F679" s="29" t="s">
        <v>62</v>
      </c>
      <c r="G679" s="179" t="s">
        <v>2690</v>
      </c>
      <c r="H679" s="182" t="s">
        <v>2755</v>
      </c>
      <c r="I679" s="183">
        <v>46182</v>
      </c>
      <c r="J679" s="183">
        <v>46184</v>
      </c>
      <c r="K679" s="22" t="s">
        <v>35</v>
      </c>
      <c r="L679" s="71">
        <v>9211.69</v>
      </c>
      <c r="M679" s="197">
        <v>4.82</v>
      </c>
      <c r="N679" s="184">
        <v>30</v>
      </c>
      <c r="O679" s="185">
        <v>0</v>
      </c>
      <c r="P679" s="185">
        <v>32</v>
      </c>
      <c r="Q679" s="185">
        <v>0</v>
      </c>
      <c r="R679" s="185">
        <f t="shared" si="13"/>
        <v>32</v>
      </c>
      <c r="S679" s="180">
        <v>12</v>
      </c>
      <c r="T679" s="67" t="s">
        <v>2692</v>
      </c>
    </row>
    <row r="680" spans="1:20" ht="23.25" customHeight="1" x14ac:dyDescent="0.25">
      <c r="A680" s="20" t="str">
        <f>IF(B680="","",B680&amp;"-"&amp;TEXT(COUNTIF(B$2:B680,B680),"000"))</f>
        <v>2026-024</v>
      </c>
      <c r="B680" s="22">
        <v>2026</v>
      </c>
      <c r="C680" s="227" t="s">
        <v>2764</v>
      </c>
      <c r="D680" s="70" t="s">
        <v>2743</v>
      </c>
      <c r="E680" s="65" t="s">
        <v>2757</v>
      </c>
      <c r="F680" s="29" t="s">
        <v>23</v>
      </c>
      <c r="G680" s="20" t="s">
        <v>2695</v>
      </c>
      <c r="H680" s="68" t="s">
        <v>2986</v>
      </c>
      <c r="I680" s="69">
        <v>46272</v>
      </c>
      <c r="J680" s="69">
        <v>46212</v>
      </c>
      <c r="K680" s="22" t="s">
        <v>35</v>
      </c>
      <c r="L680" s="199">
        <v>0</v>
      </c>
      <c r="M680" s="198"/>
      <c r="N680" s="73"/>
      <c r="O680" s="73"/>
      <c r="P680" s="73"/>
      <c r="Q680" s="73"/>
      <c r="R680" s="73">
        <f t="shared" si="13"/>
        <v>0</v>
      </c>
      <c r="S680" s="70">
        <v>12</v>
      </c>
      <c r="T680" s="20" t="s">
        <v>2697</v>
      </c>
    </row>
    <row r="681" spans="1:20" ht="23.25" customHeight="1" x14ac:dyDescent="0.25">
      <c r="A681" s="21" t="str">
        <f>IF(B681="","",B681&amp;"-"&amp;TEXT(COUNTIF(B$2:B681,B681),"000"))</f>
        <v>2026-025</v>
      </c>
      <c r="B681" s="24">
        <v>2026</v>
      </c>
      <c r="C681" s="70" t="s">
        <v>21</v>
      </c>
      <c r="D681" s="186" t="s">
        <v>2753</v>
      </c>
      <c r="E681" s="272" t="s">
        <v>2759</v>
      </c>
      <c r="F681" s="31" t="s">
        <v>62</v>
      </c>
      <c r="G681" s="194" t="s">
        <v>2690</v>
      </c>
      <c r="H681" s="189" t="s">
        <v>2760</v>
      </c>
      <c r="I681" s="190">
        <v>46189</v>
      </c>
      <c r="J681" s="190">
        <v>46191</v>
      </c>
      <c r="K681" s="24" t="s">
        <v>35</v>
      </c>
      <c r="L681" s="61">
        <v>9211.69</v>
      </c>
      <c r="M681" s="197">
        <v>4.84</v>
      </c>
      <c r="N681" s="192">
        <v>30</v>
      </c>
      <c r="O681" s="193">
        <v>0</v>
      </c>
      <c r="P681" s="193">
        <v>44</v>
      </c>
      <c r="Q681" s="193">
        <v>0</v>
      </c>
      <c r="R681" s="193">
        <f>SUM(O681:Q681)</f>
        <v>44</v>
      </c>
      <c r="S681" s="186">
        <v>12</v>
      </c>
      <c r="T681" s="21" t="s">
        <v>2692</v>
      </c>
    </row>
    <row r="682" spans="1:20" ht="23.25" customHeight="1" x14ac:dyDescent="0.25">
      <c r="A682" s="20" t="str">
        <f>IF(B682="","",B682&amp;"-"&amp;TEXT(COUNTIF(B$2:B682,B682),"000"))</f>
        <v>2026-026</v>
      </c>
      <c r="B682" s="22">
        <v>2026</v>
      </c>
      <c r="C682" s="70" t="s">
        <v>21</v>
      </c>
      <c r="D682" s="180" t="s">
        <v>2761</v>
      </c>
      <c r="E682" s="164" t="s">
        <v>2762</v>
      </c>
      <c r="F682" s="29" t="s">
        <v>62</v>
      </c>
      <c r="G682" s="181" t="s">
        <v>2690</v>
      </c>
      <c r="H682" s="182" t="s">
        <v>2763</v>
      </c>
      <c r="I682" s="183">
        <v>46195</v>
      </c>
      <c r="J682" s="183">
        <v>46196</v>
      </c>
      <c r="K682" s="22" t="s">
        <v>26</v>
      </c>
      <c r="L682" s="202"/>
      <c r="M682" s="197">
        <v>4.8600000000000003</v>
      </c>
      <c r="N682" s="184">
        <v>200</v>
      </c>
      <c r="O682" s="185">
        <v>41</v>
      </c>
      <c r="P682" s="185">
        <v>114</v>
      </c>
      <c r="Q682" s="185">
        <v>41</v>
      </c>
      <c r="R682" s="185">
        <f t="shared" si="13"/>
        <v>196</v>
      </c>
      <c r="S682" s="180">
        <v>14</v>
      </c>
      <c r="T682" s="20" t="s">
        <v>472</v>
      </c>
    </row>
    <row r="683" spans="1:20" ht="23.25" customHeight="1" x14ac:dyDescent="0.25">
      <c r="A683" s="21" t="str">
        <f>IF(B683="","",B683&amp;"-"&amp;TEXT(COUNTIF(B$2:B683,B683),"000"))</f>
        <v>2026-027</v>
      </c>
      <c r="B683" s="24">
        <v>2026</v>
      </c>
      <c r="C683" s="70" t="s">
        <v>2764</v>
      </c>
      <c r="D683" s="186" t="s">
        <v>2765</v>
      </c>
      <c r="E683" s="187" t="s">
        <v>2766</v>
      </c>
      <c r="F683" s="31" t="s">
        <v>62</v>
      </c>
      <c r="G683" s="21" t="s">
        <v>72</v>
      </c>
      <c r="H683" s="189" t="s">
        <v>2767</v>
      </c>
      <c r="I683" s="190">
        <v>46335</v>
      </c>
      <c r="J683" s="190">
        <v>46335</v>
      </c>
      <c r="K683" s="24" t="s">
        <v>26</v>
      </c>
      <c r="L683" s="202"/>
      <c r="M683" s="197"/>
      <c r="N683" s="192">
        <v>170</v>
      </c>
      <c r="O683" s="193"/>
      <c r="P683" s="193"/>
      <c r="Q683" s="193"/>
      <c r="R683" s="193">
        <f t="shared" si="13"/>
        <v>0</v>
      </c>
      <c r="S683" s="186">
        <v>14</v>
      </c>
      <c r="T683" s="21" t="s">
        <v>472</v>
      </c>
    </row>
    <row r="684" spans="1:20" ht="23.25" customHeight="1" x14ac:dyDescent="0.25">
      <c r="A684" s="268" t="str">
        <f>IF(B684="","",B684&amp;"-"&amp;TEXT(COUNTIF(B$2:B684,B684),"000"))</f>
        <v>2026-028</v>
      </c>
      <c r="B684" s="70">
        <v>2026</v>
      </c>
      <c r="C684" s="227" t="s">
        <v>2756</v>
      </c>
      <c r="D684" s="70" t="s">
        <v>2768</v>
      </c>
      <c r="E684" s="164" t="s">
        <v>2769</v>
      </c>
      <c r="F684" s="66" t="s">
        <v>81</v>
      </c>
      <c r="G684" s="67" t="s">
        <v>2727</v>
      </c>
      <c r="H684" s="68"/>
      <c r="I684" s="69"/>
      <c r="J684" s="69"/>
      <c r="K684" s="70" t="s">
        <v>26</v>
      </c>
      <c r="L684" s="71">
        <v>25200</v>
      </c>
      <c r="M684" s="198"/>
      <c r="N684" s="72">
        <v>60</v>
      </c>
      <c r="O684" s="73"/>
      <c r="P684" s="73"/>
      <c r="Q684" s="73"/>
      <c r="R684" s="73">
        <f t="shared" si="13"/>
        <v>0</v>
      </c>
      <c r="S684" s="70">
        <v>32</v>
      </c>
      <c r="T684" s="67" t="s">
        <v>2770</v>
      </c>
    </row>
    <row r="685" spans="1:20" ht="23.25" customHeight="1" x14ac:dyDescent="0.25">
      <c r="A685" s="208" t="str">
        <f>IF(B685="","",B685&amp;"-"&amp;TEXT(COUNTIF(B$2:B685,B685),"000"))</f>
        <v>2026-029</v>
      </c>
      <c r="B685" s="209">
        <v>2026</v>
      </c>
      <c r="C685" s="218" t="s">
        <v>2764</v>
      </c>
      <c r="D685" s="209" t="s">
        <v>2771</v>
      </c>
      <c r="E685" s="210" t="s">
        <v>2772</v>
      </c>
      <c r="F685" s="211" t="s">
        <v>62</v>
      </c>
      <c r="G685" s="208" t="s">
        <v>72</v>
      </c>
      <c r="H685" s="212" t="s">
        <v>2773</v>
      </c>
      <c r="I685" s="213">
        <v>46321</v>
      </c>
      <c r="J685" s="213">
        <v>46322</v>
      </c>
      <c r="K685" s="24" t="s">
        <v>26</v>
      </c>
      <c r="L685" s="223"/>
      <c r="M685" s="214"/>
      <c r="N685" s="215">
        <v>170</v>
      </c>
      <c r="O685" s="216"/>
      <c r="P685" s="216"/>
      <c r="Q685" s="216"/>
      <c r="R685" s="216">
        <f t="shared" ref="R685:R747" si="14">IF(B685="","",SUM(O685:Q685))</f>
        <v>0</v>
      </c>
      <c r="S685" s="209">
        <v>14</v>
      </c>
      <c r="T685" s="21" t="s">
        <v>472</v>
      </c>
    </row>
    <row r="686" spans="1:20" ht="23.25" customHeight="1" x14ac:dyDescent="0.25">
      <c r="A686" s="217" t="str">
        <f>IF(B686="","",B686&amp;"-"&amp;TEXT(COUNTIF(B$2:B686,B686),"000"))</f>
        <v>2026-030</v>
      </c>
      <c r="B686" s="218">
        <v>2026</v>
      </c>
      <c r="C686" s="218" t="s">
        <v>2764</v>
      </c>
      <c r="D686" s="218" t="s">
        <v>2774</v>
      </c>
      <c r="E686" s="239" t="s">
        <v>2775</v>
      </c>
      <c r="F686" s="220" t="s">
        <v>23</v>
      </c>
      <c r="G686" s="217" t="s">
        <v>68</v>
      </c>
      <c r="H686" s="221" t="s">
        <v>2776</v>
      </c>
      <c r="I686" s="222">
        <v>46223</v>
      </c>
      <c r="J686" s="222">
        <v>46233</v>
      </c>
      <c r="K686" s="218" t="s">
        <v>35</v>
      </c>
      <c r="L686" s="223">
        <v>20061.23</v>
      </c>
      <c r="M686" s="214"/>
      <c r="N686" s="225">
        <v>20</v>
      </c>
      <c r="O686" s="224"/>
      <c r="P686" s="224"/>
      <c r="Q686" s="224"/>
      <c r="R686" s="224">
        <f t="shared" si="14"/>
        <v>0</v>
      </c>
      <c r="S686" s="218">
        <v>24</v>
      </c>
      <c r="T686" s="217" t="s">
        <v>2752</v>
      </c>
    </row>
    <row r="687" spans="1:20" ht="23.25" customHeight="1" x14ac:dyDescent="0.25">
      <c r="A687" s="208" t="str">
        <f>IF(B687="","",B687&amp;"-"&amp;TEXT(COUNTIF(B$2:B687,B687),"000"))</f>
        <v>2026-031</v>
      </c>
      <c r="B687" s="209">
        <v>2026</v>
      </c>
      <c r="C687" s="218" t="s">
        <v>2742</v>
      </c>
      <c r="D687" s="209" t="s">
        <v>2777</v>
      </c>
      <c r="E687" s="210" t="s">
        <v>2778</v>
      </c>
      <c r="F687" s="211" t="s">
        <v>23</v>
      </c>
      <c r="G687" s="208" t="s">
        <v>68</v>
      </c>
      <c r="H687" s="212" t="s">
        <v>2779</v>
      </c>
      <c r="I687" s="213">
        <v>46174</v>
      </c>
      <c r="J687" s="213">
        <v>46387</v>
      </c>
      <c r="K687" s="209" t="s">
        <v>26</v>
      </c>
      <c r="L687" s="223">
        <v>105000</v>
      </c>
      <c r="M687" s="214"/>
      <c r="N687" s="215"/>
      <c r="O687" s="216"/>
      <c r="P687" s="216"/>
      <c r="Q687" s="216"/>
      <c r="R687" s="216">
        <f t="shared" si="14"/>
        <v>0</v>
      </c>
      <c r="S687" s="209">
        <v>25</v>
      </c>
      <c r="T687" t="s">
        <v>2780</v>
      </c>
    </row>
    <row r="688" spans="1:20" ht="23.25" customHeight="1" x14ac:dyDescent="0.25">
      <c r="A688" s="217" t="str">
        <f>IF(B688="","",B688&amp;"-"&amp;TEXT(COUNTIF(B$2:B688,B688),"000"))</f>
        <v>2026-032</v>
      </c>
      <c r="B688" s="218">
        <v>2026</v>
      </c>
      <c r="C688" s="218" t="s">
        <v>2664</v>
      </c>
      <c r="D688" s="218" t="s">
        <v>2781</v>
      </c>
      <c r="E688" s="239" t="s">
        <v>2782</v>
      </c>
      <c r="F688" s="220" t="s">
        <v>81</v>
      </c>
      <c r="G688" s="217" t="s">
        <v>2727</v>
      </c>
      <c r="H688" s="221" t="s">
        <v>2783</v>
      </c>
      <c r="I688" s="222">
        <v>46204</v>
      </c>
      <c r="J688" s="222">
        <v>46206</v>
      </c>
      <c r="K688" s="218" t="s">
        <v>35</v>
      </c>
      <c r="L688" s="223">
        <v>7687.86</v>
      </c>
      <c r="M688" s="214"/>
      <c r="N688" s="225">
        <v>30</v>
      </c>
      <c r="O688" s="224"/>
      <c r="P688" s="224"/>
      <c r="Q688" s="224"/>
      <c r="R688" s="224">
        <f t="shared" si="14"/>
        <v>0</v>
      </c>
      <c r="S688" s="218">
        <v>12</v>
      </c>
      <c r="T688" s="217" t="s">
        <v>2445</v>
      </c>
    </row>
    <row r="689" spans="1:20" ht="23.25" customHeight="1" x14ac:dyDescent="0.25">
      <c r="A689" s="208" t="str">
        <f>IF(B689="","",B689&amp;"-"&amp;TEXT(COUNTIF(B$2:B689,B689),"000"))</f>
        <v>2026-033</v>
      </c>
      <c r="B689" s="209">
        <v>2026</v>
      </c>
      <c r="C689" s="218" t="s">
        <v>21</v>
      </c>
      <c r="D689" s="209" t="s">
        <v>2784</v>
      </c>
      <c r="E689" s="244" t="s">
        <v>2785</v>
      </c>
      <c r="F689" s="211" t="s">
        <v>23</v>
      </c>
      <c r="G689" s="208" t="s">
        <v>2711</v>
      </c>
      <c r="H689" s="246" t="s">
        <v>2786</v>
      </c>
      <c r="I689" s="213">
        <v>46154</v>
      </c>
      <c r="J689" s="213">
        <v>46156</v>
      </c>
      <c r="K689" s="209" t="s">
        <v>35</v>
      </c>
      <c r="L689" s="26">
        <v>6497.28</v>
      </c>
      <c r="M689" s="214">
        <v>4.88</v>
      </c>
      <c r="N689" s="215">
        <v>20</v>
      </c>
      <c r="O689" s="216">
        <v>22</v>
      </c>
      <c r="P689" s="216">
        <v>0</v>
      </c>
      <c r="Q689" s="216">
        <v>0</v>
      </c>
      <c r="R689" s="216">
        <f t="shared" si="14"/>
        <v>22</v>
      </c>
      <c r="S689" s="209">
        <v>8</v>
      </c>
      <c r="T689" s="105" t="s">
        <v>2731</v>
      </c>
    </row>
    <row r="690" spans="1:20" ht="23.25" customHeight="1" x14ac:dyDescent="0.25">
      <c r="A690" s="217" t="str">
        <f>IF(B690="","",B690&amp;"-"&amp;TEXT(COUNTIF(B$2:B690,B690),"000"))</f>
        <v>2026-034</v>
      </c>
      <c r="B690" s="218">
        <v>2026</v>
      </c>
      <c r="C690" s="218" t="s">
        <v>21</v>
      </c>
      <c r="D690" s="218" t="s">
        <v>2784</v>
      </c>
      <c r="E690" s="245" t="s">
        <v>2787</v>
      </c>
      <c r="F690" s="220" t="s">
        <v>23</v>
      </c>
      <c r="G690" s="217" t="s">
        <v>2711</v>
      </c>
      <c r="H690" s="247" t="s">
        <v>2788</v>
      </c>
      <c r="I690" s="222">
        <v>46196</v>
      </c>
      <c r="J690" s="222">
        <v>46198</v>
      </c>
      <c r="K690" s="218" t="s">
        <v>35</v>
      </c>
      <c r="L690" s="26">
        <v>6497.28</v>
      </c>
      <c r="M690" s="214"/>
      <c r="N690" s="225">
        <v>20</v>
      </c>
      <c r="O690" s="224">
        <v>24</v>
      </c>
      <c r="P690" s="224">
        <v>0</v>
      </c>
      <c r="Q690" s="224">
        <v>0</v>
      </c>
      <c r="R690" s="224">
        <f t="shared" si="14"/>
        <v>24</v>
      </c>
      <c r="S690" s="218">
        <v>8</v>
      </c>
      <c r="T690" s="104" t="s">
        <v>2731</v>
      </c>
    </row>
    <row r="691" spans="1:20" ht="23.25" customHeight="1" x14ac:dyDescent="0.25">
      <c r="A691" s="208" t="str">
        <f>IF(B691="","",B691&amp;"-"&amp;TEXT(COUNTIF(B$2:B691,B691),"000"))</f>
        <v>2026-035</v>
      </c>
      <c r="B691" s="209">
        <v>2026</v>
      </c>
      <c r="C691" s="218" t="s">
        <v>21</v>
      </c>
      <c r="D691" s="209" t="s">
        <v>2789</v>
      </c>
      <c r="E691" s="244" t="s">
        <v>2669</v>
      </c>
      <c r="F691" s="211" t="s">
        <v>23</v>
      </c>
      <c r="G691" s="208" t="s">
        <v>38</v>
      </c>
      <c r="H691" s="212" t="s">
        <v>2790</v>
      </c>
      <c r="I691" s="213">
        <v>46160</v>
      </c>
      <c r="J691" s="213">
        <v>46167</v>
      </c>
      <c r="K691" s="209" t="s">
        <v>35</v>
      </c>
      <c r="L691" s="223">
        <v>12221.73</v>
      </c>
      <c r="M691" s="214">
        <v>4.93</v>
      </c>
      <c r="N691" s="215">
        <v>20</v>
      </c>
      <c r="O691" s="216">
        <v>21</v>
      </c>
      <c r="P691" s="216">
        <v>0</v>
      </c>
      <c r="Q691" s="216">
        <v>0</v>
      </c>
      <c r="R691" s="216">
        <f t="shared" si="14"/>
        <v>21</v>
      </c>
      <c r="S691" s="209">
        <v>16</v>
      </c>
      <c r="T691" s="208" t="s">
        <v>1785</v>
      </c>
    </row>
    <row r="692" spans="1:20" ht="23.25" customHeight="1" x14ac:dyDescent="0.25">
      <c r="A692" s="217" t="str">
        <f>IF(B692="","",B692&amp;"-"&amp;TEXT(COUNTIF(B$2:B692,B692),"000"))</f>
        <v>2026-036</v>
      </c>
      <c r="B692" s="218">
        <v>2026</v>
      </c>
      <c r="C692" s="218" t="s">
        <v>21</v>
      </c>
      <c r="D692" s="218" t="s">
        <v>2791</v>
      </c>
      <c r="E692" s="245" t="s">
        <v>2792</v>
      </c>
      <c r="F692" s="220" t="s">
        <v>23</v>
      </c>
      <c r="G692" s="217" t="s">
        <v>364</v>
      </c>
      <c r="H692" s="221" t="s">
        <v>2793</v>
      </c>
      <c r="I692" s="222">
        <v>46140</v>
      </c>
      <c r="J692" s="222">
        <v>46147</v>
      </c>
      <c r="K692" s="218" t="s">
        <v>35</v>
      </c>
      <c r="L692" s="223">
        <v>0</v>
      </c>
      <c r="M692" s="214">
        <v>4.9400000000000004</v>
      </c>
      <c r="N692" s="225">
        <v>30</v>
      </c>
      <c r="O692" s="224">
        <v>30</v>
      </c>
      <c r="P692" s="224">
        <v>0</v>
      </c>
      <c r="Q692" s="224">
        <v>0</v>
      </c>
      <c r="R692" s="224">
        <f t="shared" si="14"/>
        <v>30</v>
      </c>
      <c r="S692" s="218">
        <v>20</v>
      </c>
      <c r="T692" s="217" t="s">
        <v>472</v>
      </c>
    </row>
    <row r="693" spans="1:20" ht="23.25" customHeight="1" x14ac:dyDescent="0.25">
      <c r="A693" s="208" t="str">
        <f>IF(B693="","",B693&amp;"-"&amp;TEXT(COUNTIF(B$2:B693,B693),"000"))</f>
        <v>2026-037</v>
      </c>
      <c r="B693" s="209">
        <v>2026</v>
      </c>
      <c r="C693" s="218" t="s">
        <v>21</v>
      </c>
      <c r="D693" s="209" t="s">
        <v>2794</v>
      </c>
      <c r="E693" s="244" t="s">
        <v>2795</v>
      </c>
      <c r="F693" s="211" t="s">
        <v>23</v>
      </c>
      <c r="G693" s="208" t="s">
        <v>24</v>
      </c>
      <c r="H693" s="212" t="s">
        <v>2796</v>
      </c>
      <c r="I693" s="213">
        <v>46148</v>
      </c>
      <c r="J693" s="213">
        <v>46150</v>
      </c>
      <c r="K693" s="209" t="s">
        <v>35</v>
      </c>
      <c r="L693" s="223">
        <v>9454.4</v>
      </c>
      <c r="M693" s="214">
        <v>4.9400000000000004</v>
      </c>
      <c r="N693" s="215">
        <v>30</v>
      </c>
      <c r="O693" s="216">
        <v>30</v>
      </c>
      <c r="P693" s="216">
        <v>0</v>
      </c>
      <c r="Q693" s="216">
        <v>0</v>
      </c>
      <c r="R693" s="216">
        <f t="shared" si="14"/>
        <v>30</v>
      </c>
      <c r="S693" s="209">
        <v>12</v>
      </c>
      <c r="T693" s="208" t="s">
        <v>2797</v>
      </c>
    </row>
    <row r="694" spans="1:20" ht="23.25" customHeight="1" x14ac:dyDescent="0.25">
      <c r="A694" s="217" t="str">
        <f>IF(B694="","",B694&amp;"-"&amp;TEXT(COUNTIF(B$2:B694,B694),"000"))</f>
        <v>2026-038</v>
      </c>
      <c r="B694" s="218">
        <v>2026</v>
      </c>
      <c r="C694" s="218" t="s">
        <v>2764</v>
      </c>
      <c r="D694" s="218" t="s">
        <v>2798</v>
      </c>
      <c r="E694" s="219" t="s">
        <v>2799</v>
      </c>
      <c r="F694" s="220" t="s">
        <v>62</v>
      </c>
      <c r="G694" s="217" t="s">
        <v>2690</v>
      </c>
      <c r="H694" s="221" t="s">
        <v>2800</v>
      </c>
      <c r="I694" s="222">
        <v>46157</v>
      </c>
      <c r="J694" s="222">
        <v>46387</v>
      </c>
      <c r="K694" s="218" t="s">
        <v>35</v>
      </c>
      <c r="L694" s="223"/>
      <c r="M694" s="214"/>
      <c r="N694" s="225"/>
      <c r="O694" s="224"/>
      <c r="P694" s="224"/>
      <c r="Q694" s="224"/>
      <c r="R694" s="224">
        <f t="shared" si="14"/>
        <v>0</v>
      </c>
      <c r="S694" s="218">
        <v>85</v>
      </c>
      <c r="T694" s="217" t="s">
        <v>2692</v>
      </c>
    </row>
    <row r="695" spans="1:20" ht="23.25" customHeight="1" x14ac:dyDescent="0.25">
      <c r="A695" s="208" t="str">
        <f>IF(B695="","",B695&amp;"-"&amp;TEXT(COUNTIF(B$2:B695,B695),"000"))</f>
        <v>2026-039</v>
      </c>
      <c r="B695" s="209">
        <v>2026</v>
      </c>
      <c r="C695" s="218" t="s">
        <v>2764</v>
      </c>
      <c r="D695" s="209" t="s">
        <v>2801</v>
      </c>
      <c r="E695" s="210" t="s">
        <v>2802</v>
      </c>
      <c r="F695" s="211" t="s">
        <v>81</v>
      </c>
      <c r="G695" s="260" t="s">
        <v>2727</v>
      </c>
      <c r="H695" s="212" t="s">
        <v>2803</v>
      </c>
      <c r="I695" s="213">
        <v>46223</v>
      </c>
      <c r="J695" s="213">
        <v>46227</v>
      </c>
      <c r="K695" s="209" t="s">
        <v>35</v>
      </c>
      <c r="L695" s="223"/>
      <c r="M695" s="214"/>
      <c r="N695" s="215"/>
      <c r="O695" s="216"/>
      <c r="P695" s="216"/>
      <c r="Q695" s="216"/>
      <c r="R695" s="216">
        <f t="shared" si="14"/>
        <v>0</v>
      </c>
      <c r="S695" s="209">
        <v>20</v>
      </c>
      <c r="T695" s="208" t="s">
        <v>418</v>
      </c>
    </row>
    <row r="696" spans="1:20" ht="23.25" customHeight="1" x14ac:dyDescent="0.25">
      <c r="A696" s="217" t="str">
        <f>IF(B696="","",B696&amp;"-"&amp;TEXT(COUNTIF(B$2:B696,B696),"000"))</f>
        <v>2026-040</v>
      </c>
      <c r="B696" s="218">
        <v>2026</v>
      </c>
      <c r="C696" s="218" t="s">
        <v>21</v>
      </c>
      <c r="D696" s="218" t="s">
        <v>2804</v>
      </c>
      <c r="E696" s="219" t="s">
        <v>2805</v>
      </c>
      <c r="F696" s="220" t="s">
        <v>81</v>
      </c>
      <c r="G696" s="269" t="s">
        <v>2727</v>
      </c>
      <c r="H696" s="221" t="s">
        <v>2806</v>
      </c>
      <c r="I696" s="222">
        <v>46167</v>
      </c>
      <c r="J696" s="222">
        <v>46171</v>
      </c>
      <c r="K696" s="218" t="s">
        <v>35</v>
      </c>
      <c r="L696" s="223"/>
      <c r="M696" s="214"/>
      <c r="N696" s="225">
        <v>25</v>
      </c>
      <c r="O696" s="224"/>
      <c r="P696" s="224"/>
      <c r="Q696" s="224">
        <v>25</v>
      </c>
      <c r="R696" s="224">
        <f t="shared" si="14"/>
        <v>25</v>
      </c>
      <c r="S696" s="218">
        <v>4</v>
      </c>
      <c r="T696" s="217" t="s">
        <v>1023</v>
      </c>
    </row>
    <row r="697" spans="1:20" ht="23.25" customHeight="1" x14ac:dyDescent="0.25">
      <c r="A697" s="208" t="str">
        <f>IF(B697="","",B697&amp;"-"&amp;TEXT(COUNTIF(B$2:B697,B697),"000"))</f>
        <v>2026-041</v>
      </c>
      <c r="B697" s="209">
        <v>2026</v>
      </c>
      <c r="C697" s="218" t="s">
        <v>21</v>
      </c>
      <c r="D697" s="209" t="s">
        <v>2807</v>
      </c>
      <c r="E697" s="210" t="s">
        <v>2808</v>
      </c>
      <c r="F697" s="211" t="s">
        <v>81</v>
      </c>
      <c r="G697" s="260" t="s">
        <v>2727</v>
      </c>
      <c r="H697" s="212" t="s">
        <v>2809</v>
      </c>
      <c r="I697" s="213">
        <v>46148</v>
      </c>
      <c r="J697" s="213">
        <v>46148</v>
      </c>
      <c r="K697" s="209" t="s">
        <v>35</v>
      </c>
      <c r="L697" s="223">
        <v>2342.36</v>
      </c>
      <c r="M697" s="214">
        <v>4.9000000000000004</v>
      </c>
      <c r="N697" s="215">
        <v>50</v>
      </c>
      <c r="O697" s="216"/>
      <c r="P697" s="216"/>
      <c r="Q697" s="216">
        <v>50</v>
      </c>
      <c r="R697" s="216">
        <f t="shared" si="14"/>
        <v>50</v>
      </c>
      <c r="S697" s="209">
        <v>3</v>
      </c>
      <c r="T697" s="208" t="s">
        <v>2810</v>
      </c>
    </row>
    <row r="698" spans="1:20" ht="23.25" customHeight="1" x14ac:dyDescent="0.25">
      <c r="A698" s="217" t="str">
        <f>IF(B698="","",B698&amp;"-"&amp;TEXT(COUNTIF(B$2:B698,B698),"000"))</f>
        <v>2026-042</v>
      </c>
      <c r="B698" s="218">
        <v>2026</v>
      </c>
      <c r="C698" s="218" t="s">
        <v>2764</v>
      </c>
      <c r="D698" s="218" t="s">
        <v>2811</v>
      </c>
      <c r="E698" s="219" t="s">
        <v>2812</v>
      </c>
      <c r="F698" s="220" t="s">
        <v>23</v>
      </c>
      <c r="G698" s="217" t="s">
        <v>24</v>
      </c>
      <c r="H698" s="221" t="s">
        <v>2800</v>
      </c>
      <c r="I698" s="222">
        <v>46204</v>
      </c>
      <c r="J698" s="222">
        <v>46387</v>
      </c>
      <c r="K698" s="218" t="s">
        <v>35</v>
      </c>
      <c r="L698" s="223"/>
      <c r="M698" s="214"/>
      <c r="N698" s="225"/>
      <c r="O698" s="224"/>
      <c r="P698" s="224"/>
      <c r="Q698" s="224"/>
      <c r="R698" s="224">
        <f t="shared" si="14"/>
        <v>0</v>
      </c>
      <c r="S698" s="218">
        <v>16</v>
      </c>
      <c r="T698" s="217" t="s">
        <v>549</v>
      </c>
    </row>
    <row r="699" spans="1:20" ht="23.25" customHeight="1" x14ac:dyDescent="0.25">
      <c r="A699" s="208" t="str">
        <f>IF(B699="","",B699&amp;"-"&amp;TEXT(COUNTIF(B$2:B699,B699),"000"))</f>
        <v>2026-043</v>
      </c>
      <c r="B699" s="209">
        <v>2026</v>
      </c>
      <c r="C699" s="218" t="s">
        <v>2764</v>
      </c>
      <c r="D699" s="209" t="s">
        <v>2813</v>
      </c>
      <c r="E699" s="210" t="s">
        <v>2814</v>
      </c>
      <c r="F699" s="211" t="s">
        <v>23</v>
      </c>
      <c r="G699" s="208" t="s">
        <v>68</v>
      </c>
      <c r="H699" s="212" t="s">
        <v>2815</v>
      </c>
      <c r="I699" s="213">
        <v>46244</v>
      </c>
      <c r="J699" s="213">
        <v>46245</v>
      </c>
      <c r="K699" s="209" t="s">
        <v>26</v>
      </c>
      <c r="L699" s="223">
        <v>13000</v>
      </c>
      <c r="M699" s="214"/>
      <c r="N699" s="215"/>
      <c r="O699" s="216"/>
      <c r="P699" s="216"/>
      <c r="Q699" s="216"/>
      <c r="R699" s="216">
        <f t="shared" si="14"/>
        <v>0</v>
      </c>
      <c r="S699" s="209">
        <v>10</v>
      </c>
      <c r="T699" s="208" t="s">
        <v>2816</v>
      </c>
    </row>
    <row r="700" spans="1:20" ht="23.25" customHeight="1" x14ac:dyDescent="0.25">
      <c r="A700" s="217" t="str">
        <f>IF(B700="","",B700&amp;"-"&amp;TEXT(COUNTIF(B$2:B700,B700),"000"))</f>
        <v>2026-044</v>
      </c>
      <c r="B700" s="218">
        <v>2026</v>
      </c>
      <c r="C700" s="218" t="s">
        <v>2764</v>
      </c>
      <c r="D700" s="218" t="s">
        <v>2817</v>
      </c>
      <c r="E700" s="219" t="s">
        <v>2818</v>
      </c>
      <c r="F700" s="220" t="s">
        <v>62</v>
      </c>
      <c r="G700" s="217" t="s">
        <v>72</v>
      </c>
      <c r="H700" s="221" t="s">
        <v>2819</v>
      </c>
      <c r="I700" s="222">
        <v>46223</v>
      </c>
      <c r="J700" s="222">
        <v>46223</v>
      </c>
      <c r="K700" s="218" t="s">
        <v>35</v>
      </c>
      <c r="L700" s="223">
        <v>0</v>
      </c>
      <c r="M700" s="214"/>
      <c r="N700" s="225"/>
      <c r="O700" s="224"/>
      <c r="P700" s="224"/>
      <c r="Q700" s="224"/>
      <c r="R700" s="224">
        <f t="shared" si="14"/>
        <v>0</v>
      </c>
      <c r="S700" s="218">
        <v>4</v>
      </c>
      <c r="T700" s="217" t="s">
        <v>472</v>
      </c>
    </row>
    <row r="701" spans="1:20" ht="23.25" customHeight="1" x14ac:dyDescent="0.25">
      <c r="A701" s="208" t="str">
        <f>IF(B701="","",B701&amp;"-"&amp;TEXT(COUNTIF(B$2:B701,B701),"000"))</f>
        <v>2026-045</v>
      </c>
      <c r="B701" s="209">
        <v>2026</v>
      </c>
      <c r="C701" s="218" t="s">
        <v>2764</v>
      </c>
      <c r="D701" s="209" t="s">
        <v>2820</v>
      </c>
      <c r="E701" s="210" t="s">
        <v>2821</v>
      </c>
      <c r="F701" s="211" t="s">
        <v>62</v>
      </c>
      <c r="G701" s="208" t="s">
        <v>72</v>
      </c>
      <c r="H701" s="212" t="s">
        <v>2822</v>
      </c>
      <c r="I701" s="213">
        <v>46237</v>
      </c>
      <c r="J701" s="213">
        <v>46238</v>
      </c>
      <c r="K701" s="209" t="s">
        <v>35</v>
      </c>
      <c r="L701" s="223"/>
      <c r="M701" s="214"/>
      <c r="N701" s="215">
        <v>400</v>
      </c>
      <c r="O701" s="216"/>
      <c r="P701" s="216"/>
      <c r="Q701" s="216"/>
      <c r="R701" s="216">
        <f t="shared" si="14"/>
        <v>0</v>
      </c>
      <c r="S701" s="209">
        <v>8</v>
      </c>
      <c r="T701" s="208" t="s">
        <v>2823</v>
      </c>
    </row>
    <row r="702" spans="1:20" ht="23.25" customHeight="1" x14ac:dyDescent="0.25">
      <c r="A702" s="217" t="str">
        <f>IF(B702="","",B702&amp;"-"&amp;TEXT(COUNTIF(B$2:B702,B702),"000"))</f>
        <v>2026-046</v>
      </c>
      <c r="B702" s="218">
        <v>2026</v>
      </c>
      <c r="C702" s="218" t="s">
        <v>21</v>
      </c>
      <c r="D702" s="218" t="s">
        <v>2824</v>
      </c>
      <c r="E702" s="219" t="s">
        <v>2825</v>
      </c>
      <c r="F702" s="220" t="s">
        <v>23</v>
      </c>
      <c r="G702" s="217" t="s">
        <v>24</v>
      </c>
      <c r="H702" s="221" t="s">
        <v>2758</v>
      </c>
      <c r="I702" s="222">
        <v>46189</v>
      </c>
      <c r="J702" s="222">
        <v>46191</v>
      </c>
      <c r="K702" s="218" t="s">
        <v>35</v>
      </c>
      <c r="L702" s="223">
        <v>9746.07</v>
      </c>
      <c r="M702" s="214">
        <v>4.67</v>
      </c>
      <c r="N702" s="225">
        <v>20</v>
      </c>
      <c r="O702" s="224">
        <v>20</v>
      </c>
      <c r="P702" s="224">
        <v>0</v>
      </c>
      <c r="Q702" s="224">
        <v>0</v>
      </c>
      <c r="R702" s="224">
        <f t="shared" si="14"/>
        <v>20</v>
      </c>
      <c r="S702" s="218">
        <v>12</v>
      </c>
      <c r="T702" s="217" t="s">
        <v>2826</v>
      </c>
    </row>
    <row r="703" spans="1:20" ht="23.25" customHeight="1" x14ac:dyDescent="0.25">
      <c r="A703" s="208" t="str">
        <f>IF(B703="","",B703&amp;"-"&amp;TEXT(COUNTIF(B$2:B703,B703),"000"))</f>
        <v>2026-047</v>
      </c>
      <c r="B703" s="209">
        <v>2026</v>
      </c>
      <c r="C703" s="218" t="s">
        <v>2764</v>
      </c>
      <c r="D703" s="209" t="s">
        <v>2827</v>
      </c>
      <c r="E703" s="210" t="s">
        <v>2828</v>
      </c>
      <c r="F703" s="211" t="s">
        <v>62</v>
      </c>
      <c r="G703" s="208" t="s">
        <v>72</v>
      </c>
      <c r="H703" s="212" t="s">
        <v>2800</v>
      </c>
      <c r="I703" s="212" t="s">
        <v>2829</v>
      </c>
      <c r="J703" s="212" t="s">
        <v>2830</v>
      </c>
      <c r="K703" s="209" t="s">
        <v>35</v>
      </c>
      <c r="L703" s="223"/>
      <c r="M703" s="214"/>
      <c r="N703" s="215"/>
      <c r="O703" s="216"/>
      <c r="P703" s="216"/>
      <c r="Q703" s="216"/>
      <c r="R703" s="216">
        <f t="shared" si="14"/>
        <v>0</v>
      </c>
      <c r="S703" s="209">
        <v>17.45</v>
      </c>
      <c r="T703" s="208" t="s">
        <v>2831</v>
      </c>
    </row>
    <row r="704" spans="1:20" ht="23.25" customHeight="1" x14ac:dyDescent="0.25">
      <c r="A704" s="217" t="str">
        <f>IF(B704="","",B704&amp;"-"&amp;TEXT(COUNTIF(B$2:B704,B704),"000"))</f>
        <v>2026-048</v>
      </c>
      <c r="B704" s="218">
        <v>2026</v>
      </c>
      <c r="C704" s="218" t="s">
        <v>2664</v>
      </c>
      <c r="D704" s="218" t="s">
        <v>2832</v>
      </c>
      <c r="E704" s="219" t="s">
        <v>2833</v>
      </c>
      <c r="F704" s="220" t="s">
        <v>62</v>
      </c>
      <c r="G704" s="217" t="s">
        <v>72</v>
      </c>
      <c r="H704" s="221" t="s">
        <v>2834</v>
      </c>
      <c r="I704" s="222">
        <v>46203</v>
      </c>
      <c r="J704" s="222">
        <v>46205</v>
      </c>
      <c r="K704" s="218" t="s">
        <v>35</v>
      </c>
      <c r="L704" s="223"/>
      <c r="M704" s="214"/>
      <c r="N704" s="225">
        <v>20</v>
      </c>
      <c r="O704" s="224"/>
      <c r="P704" s="224"/>
      <c r="Q704" s="224"/>
      <c r="R704" s="224">
        <f t="shared" si="14"/>
        <v>0</v>
      </c>
      <c r="S704" s="218">
        <v>8</v>
      </c>
      <c r="T704" s="104" t="s">
        <v>2731</v>
      </c>
    </row>
    <row r="705" spans="1:20" ht="23.25" customHeight="1" x14ac:dyDescent="0.25">
      <c r="A705" s="208" t="str">
        <f>IF(B705="","",B705&amp;"-"&amp;TEXT(COUNTIF(B$2:B705,B705),"000"))</f>
        <v>2026-049</v>
      </c>
      <c r="B705" s="209">
        <v>2026</v>
      </c>
      <c r="C705" s="218" t="s">
        <v>2764</v>
      </c>
      <c r="D705" s="209" t="s">
        <v>2739</v>
      </c>
      <c r="E705" s="210" t="s">
        <v>2835</v>
      </c>
      <c r="F705" s="211" t="s">
        <v>81</v>
      </c>
      <c r="G705" s="260" t="s">
        <v>2727</v>
      </c>
      <c r="H705" s="277" t="s">
        <v>2836</v>
      </c>
      <c r="I705" s="213">
        <v>46254</v>
      </c>
      <c r="J705" s="213">
        <v>46254</v>
      </c>
      <c r="K705" s="209" t="s">
        <v>35</v>
      </c>
      <c r="L705" s="223"/>
      <c r="M705" s="214"/>
      <c r="N705" s="215">
        <v>80</v>
      </c>
      <c r="O705" s="216"/>
      <c r="P705" s="216"/>
      <c r="Q705" s="216"/>
      <c r="R705" s="216">
        <f t="shared" si="14"/>
        <v>0</v>
      </c>
      <c r="S705" s="209">
        <v>4</v>
      </c>
      <c r="T705" s="43" t="s">
        <v>2988</v>
      </c>
    </row>
    <row r="706" spans="1:20" ht="23.25" customHeight="1" x14ac:dyDescent="0.25">
      <c r="A706" s="217" t="str">
        <f>IF(B706="","",B706&amp;"-"&amp;TEXT(COUNTIF(B$2:B706,B706),"000"))</f>
        <v>2026-050</v>
      </c>
      <c r="B706" s="218">
        <v>2026</v>
      </c>
      <c r="C706" s="218" t="s">
        <v>2764</v>
      </c>
      <c r="D706" s="209" t="s">
        <v>2739</v>
      </c>
      <c r="E706" s="210" t="s">
        <v>2835</v>
      </c>
      <c r="F706" s="220" t="s">
        <v>81</v>
      </c>
      <c r="G706" s="269" t="s">
        <v>2727</v>
      </c>
      <c r="H706" s="278" t="s">
        <v>2837</v>
      </c>
      <c r="I706" s="222">
        <v>46255</v>
      </c>
      <c r="J706" s="222">
        <v>46255</v>
      </c>
      <c r="K706" s="218" t="s">
        <v>35</v>
      </c>
      <c r="L706" s="223"/>
      <c r="M706" s="214"/>
      <c r="N706" s="225">
        <v>80</v>
      </c>
      <c r="O706" s="224"/>
      <c r="P706" s="224"/>
      <c r="Q706" s="224"/>
      <c r="R706" s="224">
        <f t="shared" si="14"/>
        <v>0</v>
      </c>
      <c r="S706" s="218">
        <v>4</v>
      </c>
      <c r="T706" s="279" t="s">
        <v>2987</v>
      </c>
    </row>
    <row r="707" spans="1:20" ht="23.25" customHeight="1" x14ac:dyDescent="0.25">
      <c r="A707" s="208" t="str">
        <f>IF(B707="","",B707&amp;"-"&amp;TEXT(COUNTIF(B$2:B707,B707),"000"))</f>
        <v>2026-051</v>
      </c>
      <c r="B707" s="209">
        <v>2026</v>
      </c>
      <c r="C707" s="218" t="s">
        <v>2764</v>
      </c>
      <c r="D707" s="209" t="s">
        <v>2739</v>
      </c>
      <c r="E707" s="210" t="s">
        <v>2835</v>
      </c>
      <c r="F707" s="211" t="s">
        <v>81</v>
      </c>
      <c r="G707" s="260" t="s">
        <v>2727</v>
      </c>
      <c r="H707" s="277" t="s">
        <v>2838</v>
      </c>
      <c r="I707" s="213">
        <v>46289</v>
      </c>
      <c r="J707" s="213">
        <v>46289</v>
      </c>
      <c r="K707" s="209" t="s">
        <v>35</v>
      </c>
      <c r="L707" s="223"/>
      <c r="M707" s="214"/>
      <c r="N707" s="215">
        <v>80</v>
      </c>
      <c r="O707" s="216"/>
      <c r="P707" s="216"/>
      <c r="Q707" s="216"/>
      <c r="R707" s="216">
        <f t="shared" si="14"/>
        <v>0</v>
      </c>
      <c r="S707" s="209">
        <v>4</v>
      </c>
      <c r="T707" s="279" t="s">
        <v>2987</v>
      </c>
    </row>
    <row r="708" spans="1:20" ht="23.25" customHeight="1" x14ac:dyDescent="0.25">
      <c r="A708" s="217" t="str">
        <f>IF(B708="","",B708&amp;"-"&amp;TEXT(COUNTIF(B$2:B708,B708),"000"))</f>
        <v>2026-052</v>
      </c>
      <c r="B708" s="218">
        <v>2026</v>
      </c>
      <c r="C708" s="218" t="s">
        <v>2764</v>
      </c>
      <c r="D708" s="209" t="s">
        <v>2739</v>
      </c>
      <c r="E708" s="210" t="s">
        <v>2835</v>
      </c>
      <c r="F708" s="220" t="s">
        <v>81</v>
      </c>
      <c r="G708" s="269" t="s">
        <v>2727</v>
      </c>
      <c r="H708" s="278" t="s">
        <v>2839</v>
      </c>
      <c r="I708" s="222">
        <v>46290</v>
      </c>
      <c r="J708" s="222">
        <v>46290</v>
      </c>
      <c r="K708" s="218" t="s">
        <v>35</v>
      </c>
      <c r="L708" s="223"/>
      <c r="M708" s="214"/>
      <c r="N708" s="225">
        <v>80</v>
      </c>
      <c r="O708" s="224"/>
      <c r="P708" s="224"/>
      <c r="Q708" s="224"/>
      <c r="R708" s="224">
        <f t="shared" si="14"/>
        <v>0</v>
      </c>
      <c r="S708" s="218">
        <v>4</v>
      </c>
      <c r="T708" s="279" t="s">
        <v>2987</v>
      </c>
    </row>
    <row r="709" spans="1:20" ht="23.25" customHeight="1" x14ac:dyDescent="0.25">
      <c r="A709" s="208" t="str">
        <f>IF(B709="","",B709&amp;"-"&amp;TEXT(COUNTIF(B$2:B709,B709),"000"))</f>
        <v>2026-053</v>
      </c>
      <c r="B709" s="209">
        <v>2026</v>
      </c>
      <c r="C709" s="218" t="s">
        <v>2764</v>
      </c>
      <c r="D709" s="209" t="s">
        <v>2840</v>
      </c>
      <c r="E709" s="210" t="s">
        <v>2841</v>
      </c>
      <c r="F709" s="211" t="s">
        <v>23</v>
      </c>
      <c r="G709" s="208" t="s">
        <v>2711</v>
      </c>
      <c r="H709" s="212" t="s">
        <v>2800</v>
      </c>
      <c r="I709" s="213"/>
      <c r="J709" s="213"/>
      <c r="K709" s="209" t="s">
        <v>26</v>
      </c>
      <c r="L709" s="223">
        <v>203112</v>
      </c>
      <c r="M709" s="214"/>
      <c r="N709" s="215">
        <v>78</v>
      </c>
      <c r="O709" s="216">
        <v>78</v>
      </c>
      <c r="P709" s="216"/>
      <c r="Q709" s="216"/>
      <c r="R709" s="216">
        <f t="shared" si="14"/>
        <v>78</v>
      </c>
      <c r="S709" s="209"/>
      <c r="T709" s="208"/>
    </row>
    <row r="710" spans="1:20" ht="23.25" customHeight="1" x14ac:dyDescent="0.25">
      <c r="A710" s="217" t="str">
        <f>IF(B710="","",B710&amp;"-"&amp;TEXT(COUNTIF(B$2:B710,B710),"000"))</f>
        <v>2026-054</v>
      </c>
      <c r="B710" s="218">
        <v>2026</v>
      </c>
      <c r="C710" s="218" t="s">
        <v>2764</v>
      </c>
      <c r="D710" s="218" t="s">
        <v>2842</v>
      </c>
      <c r="E710" s="210" t="s">
        <v>2843</v>
      </c>
      <c r="F710" s="220" t="s">
        <v>62</v>
      </c>
      <c r="G710" s="217" t="s">
        <v>72</v>
      </c>
      <c r="H710" s="221" t="s">
        <v>2815</v>
      </c>
      <c r="I710" s="222">
        <v>46244</v>
      </c>
      <c r="J710" s="222">
        <v>46245</v>
      </c>
      <c r="K710" s="218" t="s">
        <v>35</v>
      </c>
      <c r="L710" s="223"/>
      <c r="M710" s="214"/>
      <c r="N710" s="225">
        <v>40</v>
      </c>
      <c r="O710" s="224"/>
      <c r="P710" s="224"/>
      <c r="Q710" s="224"/>
      <c r="R710" s="224">
        <f t="shared" si="14"/>
        <v>0</v>
      </c>
      <c r="S710" s="218">
        <v>8</v>
      </c>
      <c r="T710" s="259" t="s">
        <v>2844</v>
      </c>
    </row>
    <row r="711" spans="1:20" ht="23.25" customHeight="1" x14ac:dyDescent="0.25">
      <c r="A711" s="208" t="str">
        <f>IF(B711="","",B711&amp;"-"&amp;TEXT(COUNTIF(B$2:B711,B711),"000"))</f>
        <v>2026-055</v>
      </c>
      <c r="B711" s="209">
        <v>2026</v>
      </c>
      <c r="C711" s="218" t="s">
        <v>2764</v>
      </c>
      <c r="D711" s="209" t="s">
        <v>2739</v>
      </c>
      <c r="E711" s="210" t="s">
        <v>2835</v>
      </c>
      <c r="F711" s="211" t="s">
        <v>81</v>
      </c>
      <c r="G711" s="260" t="s">
        <v>2727</v>
      </c>
      <c r="H711" s="212" t="s">
        <v>2845</v>
      </c>
      <c r="I711" s="213">
        <v>46303</v>
      </c>
      <c r="J711" s="213">
        <v>46303</v>
      </c>
      <c r="K711" s="209" t="s">
        <v>35</v>
      </c>
      <c r="L711" s="223"/>
      <c r="M711" s="214"/>
      <c r="N711" s="215"/>
      <c r="O711" s="216"/>
      <c r="P711" s="216"/>
      <c r="Q711" s="216"/>
      <c r="R711" s="216">
        <f t="shared" si="14"/>
        <v>0</v>
      </c>
      <c r="S711" s="209">
        <v>4</v>
      </c>
      <c r="T711" s="279" t="s">
        <v>2987</v>
      </c>
    </row>
    <row r="712" spans="1:20" ht="23.25" customHeight="1" x14ac:dyDescent="0.25">
      <c r="A712" s="217" t="str">
        <f>IF(B712="","",B712&amp;"-"&amp;TEXT(COUNTIF(B$2:B712,B712),"000"))</f>
        <v>2026-056</v>
      </c>
      <c r="B712" s="218">
        <v>2026</v>
      </c>
      <c r="C712" s="218" t="s">
        <v>2764</v>
      </c>
      <c r="D712" s="218" t="s">
        <v>2739</v>
      </c>
      <c r="E712" s="210" t="s">
        <v>2835</v>
      </c>
      <c r="F712" s="220" t="s">
        <v>81</v>
      </c>
      <c r="G712" s="269" t="s">
        <v>2727</v>
      </c>
      <c r="H712" s="221" t="s">
        <v>2846</v>
      </c>
      <c r="I712" s="222">
        <v>46304</v>
      </c>
      <c r="J712" s="222">
        <v>46274</v>
      </c>
      <c r="K712" s="218" t="s">
        <v>35</v>
      </c>
      <c r="L712" s="223"/>
      <c r="M712" s="214"/>
      <c r="N712" s="225"/>
      <c r="O712" s="224"/>
      <c r="P712" s="224"/>
      <c r="Q712" s="224"/>
      <c r="R712" s="224">
        <f t="shared" si="14"/>
        <v>0</v>
      </c>
      <c r="S712" s="218">
        <v>4</v>
      </c>
      <c r="T712" s="279" t="s">
        <v>2987</v>
      </c>
    </row>
    <row r="713" spans="1:20" ht="23.25" customHeight="1" x14ac:dyDescent="0.25">
      <c r="A713" s="208" t="str">
        <f>IF(B713="","",B713&amp;"-"&amp;TEXT(COUNTIF(B$2:B713,B713),"000"))</f>
        <v/>
      </c>
      <c r="B713" s="209"/>
      <c r="C713" s="218"/>
      <c r="D713" s="209"/>
      <c r="E713" s="210"/>
      <c r="F713" s="211"/>
      <c r="G713" s="208"/>
      <c r="H713" s="212"/>
      <c r="I713" s="213"/>
      <c r="J713" s="213"/>
      <c r="K713" s="209"/>
      <c r="L713" s="223"/>
      <c r="M713" s="214"/>
      <c r="N713" s="215"/>
      <c r="O713" s="216"/>
      <c r="P713" s="216"/>
      <c r="Q713" s="216"/>
      <c r="R713" s="216" t="str">
        <f t="shared" si="14"/>
        <v/>
      </c>
      <c r="S713" s="209"/>
      <c r="T713" s="208"/>
    </row>
    <row r="714" spans="1:20" ht="23.25" customHeight="1" x14ac:dyDescent="0.25">
      <c r="A714" s="217" t="str">
        <f>IF(B714="","",B714&amp;"-"&amp;TEXT(COUNTIF(B$2:B714,B714),"000"))</f>
        <v/>
      </c>
      <c r="B714" s="218"/>
      <c r="C714" s="218"/>
      <c r="D714" s="218"/>
      <c r="E714" s="219"/>
      <c r="F714" s="220"/>
      <c r="G714" s="217"/>
      <c r="H714" s="221"/>
      <c r="I714" s="222"/>
      <c r="J714" s="222"/>
      <c r="K714" s="218"/>
      <c r="L714" s="223"/>
      <c r="M714" s="214"/>
      <c r="N714" s="225"/>
      <c r="O714" s="224"/>
      <c r="P714" s="224"/>
      <c r="Q714" s="224"/>
      <c r="R714" s="224" t="str">
        <f t="shared" si="14"/>
        <v/>
      </c>
      <c r="S714" s="218"/>
      <c r="T714" s="217"/>
    </row>
    <row r="715" spans="1:20" ht="23.25" customHeight="1" x14ac:dyDescent="0.25">
      <c r="A715" s="208" t="str">
        <f>IF(B715="","",B715&amp;"-"&amp;TEXT(COUNTIF(B$2:B715,B715),"000"))</f>
        <v/>
      </c>
      <c r="B715" s="209"/>
      <c r="C715" s="218"/>
      <c r="D715" s="209"/>
      <c r="E715" s="210"/>
      <c r="F715" s="211"/>
      <c r="G715" s="208"/>
      <c r="H715" s="212"/>
      <c r="I715" s="213"/>
      <c r="J715" s="213"/>
      <c r="K715" s="209"/>
      <c r="L715" s="223"/>
      <c r="M715" s="214"/>
      <c r="N715" s="215"/>
      <c r="O715" s="216"/>
      <c r="P715" s="216"/>
      <c r="Q715" s="216"/>
      <c r="R715" s="216" t="str">
        <f t="shared" si="14"/>
        <v/>
      </c>
      <c r="S715" s="209"/>
      <c r="T715" s="208"/>
    </row>
    <row r="716" spans="1:20" ht="23.25" customHeight="1" x14ac:dyDescent="0.25">
      <c r="A716" s="217" t="str">
        <f>IF(B716="","",B716&amp;"-"&amp;TEXT(COUNTIF(B$2:B716,B716),"000"))</f>
        <v/>
      </c>
      <c r="B716" s="218"/>
      <c r="C716" s="218"/>
      <c r="D716" s="218"/>
      <c r="E716" s="219"/>
      <c r="F716" s="220"/>
      <c r="G716" s="217"/>
      <c r="H716" s="221"/>
      <c r="I716" s="222"/>
      <c r="J716" s="222"/>
      <c r="K716" s="218"/>
      <c r="L716" s="223"/>
      <c r="M716" s="214"/>
      <c r="N716" s="225"/>
      <c r="O716" s="224"/>
      <c r="P716" s="224"/>
      <c r="Q716" s="224"/>
      <c r="R716" s="224" t="str">
        <f t="shared" si="14"/>
        <v/>
      </c>
      <c r="S716" s="218"/>
      <c r="T716" s="217"/>
    </row>
    <row r="717" spans="1:20" ht="23.25" customHeight="1" x14ac:dyDescent="0.25">
      <c r="A717" s="208" t="str">
        <f>IF(B717="","",B717&amp;"-"&amp;TEXT(COUNTIF(B$2:B717,B717),"000"))</f>
        <v/>
      </c>
      <c r="B717" s="209"/>
      <c r="C717" s="218"/>
      <c r="D717" s="209"/>
      <c r="E717" s="210"/>
      <c r="F717" s="211"/>
      <c r="G717" s="208"/>
      <c r="H717" s="212"/>
      <c r="I717" s="213"/>
      <c r="J717" s="213"/>
      <c r="K717" s="209"/>
      <c r="L717" s="223"/>
      <c r="M717" s="214"/>
      <c r="N717" s="215"/>
      <c r="O717" s="216"/>
      <c r="P717" s="216"/>
      <c r="Q717" s="216"/>
      <c r="R717" s="216" t="str">
        <f t="shared" si="14"/>
        <v/>
      </c>
      <c r="S717" s="209"/>
      <c r="T717" s="208"/>
    </row>
    <row r="718" spans="1:20" ht="23.25" customHeight="1" x14ac:dyDescent="0.25">
      <c r="A718" s="217" t="str">
        <f>IF(B718="","",B718&amp;"-"&amp;TEXT(COUNTIF(B$2:B718,B718),"000"))</f>
        <v/>
      </c>
      <c r="B718" s="218"/>
      <c r="C718" s="218"/>
      <c r="D718" s="218"/>
      <c r="E718" s="219"/>
      <c r="F718" s="220"/>
      <c r="G718" s="217"/>
      <c r="H718" s="221"/>
      <c r="I718" s="222"/>
      <c r="J718" s="222"/>
      <c r="K718" s="218"/>
      <c r="L718" s="223"/>
      <c r="M718" s="214"/>
      <c r="N718" s="225"/>
      <c r="O718" s="224"/>
      <c r="P718" s="224"/>
      <c r="Q718" s="224"/>
      <c r="R718" s="224" t="str">
        <f t="shared" si="14"/>
        <v/>
      </c>
      <c r="S718" s="218"/>
      <c r="T718" s="217"/>
    </row>
    <row r="719" spans="1:20" ht="23.25" customHeight="1" x14ac:dyDescent="0.25">
      <c r="A719" s="208" t="str">
        <f>IF(B719="","",B719&amp;"-"&amp;TEXT(COUNTIF(B$2:B719,B719),"000"))</f>
        <v/>
      </c>
      <c r="B719" s="209"/>
      <c r="C719" s="218"/>
      <c r="D719" s="209"/>
      <c r="E719" s="210"/>
      <c r="F719" s="211"/>
      <c r="G719" s="208"/>
      <c r="H719" s="212"/>
      <c r="I719" s="213"/>
      <c r="J719" s="213"/>
      <c r="K719" s="209"/>
      <c r="L719" s="223"/>
      <c r="M719" s="214"/>
      <c r="N719" s="215"/>
      <c r="O719" s="216"/>
      <c r="P719" s="216"/>
      <c r="Q719" s="216"/>
      <c r="R719" s="216" t="str">
        <f t="shared" si="14"/>
        <v/>
      </c>
      <c r="S719" s="209"/>
      <c r="T719" s="208"/>
    </row>
    <row r="720" spans="1:20" ht="23.25" customHeight="1" x14ac:dyDescent="0.25">
      <c r="A720" s="217" t="str">
        <f>IF(B720="","",B720&amp;"-"&amp;TEXT(COUNTIF(B$2:B720,B720),"000"))</f>
        <v/>
      </c>
      <c r="B720" s="218"/>
      <c r="C720" s="218"/>
      <c r="D720" s="218"/>
      <c r="E720" s="219"/>
      <c r="F720" s="220"/>
      <c r="G720" s="217"/>
      <c r="H720" s="221"/>
      <c r="I720" s="222"/>
      <c r="J720" s="222"/>
      <c r="K720" s="218"/>
      <c r="L720" s="223"/>
      <c r="M720" s="214"/>
      <c r="N720" s="225"/>
      <c r="O720" s="224"/>
      <c r="P720" s="224"/>
      <c r="Q720" s="224"/>
      <c r="R720" s="224" t="str">
        <f t="shared" si="14"/>
        <v/>
      </c>
      <c r="S720" s="218"/>
      <c r="T720" s="217"/>
    </row>
    <row r="721" spans="1:20" ht="23.25" customHeight="1" x14ac:dyDescent="0.25">
      <c r="A721" s="208" t="str">
        <f>IF(B721="","",B721&amp;"-"&amp;TEXT(COUNTIF(B$2:B721,B721),"000"))</f>
        <v/>
      </c>
      <c r="B721" s="209"/>
      <c r="C721" s="218"/>
      <c r="D721" s="209"/>
      <c r="E721" s="210"/>
      <c r="F721" s="211"/>
      <c r="G721" s="208"/>
      <c r="H721" s="212"/>
      <c r="I721" s="213"/>
      <c r="J721" s="213"/>
      <c r="K721" s="209"/>
      <c r="L721" s="223"/>
      <c r="M721" s="214"/>
      <c r="N721" s="215"/>
      <c r="O721" s="216"/>
      <c r="P721" s="216"/>
      <c r="Q721" s="216"/>
      <c r="R721" s="216" t="str">
        <f t="shared" si="14"/>
        <v/>
      </c>
      <c r="S721" s="209"/>
      <c r="T721" s="208"/>
    </row>
    <row r="722" spans="1:20" ht="23.25" customHeight="1" x14ac:dyDescent="0.25">
      <c r="A722" s="217" t="str">
        <f>IF(B722="","",B722&amp;"-"&amp;TEXT(COUNTIF(B$2:B722,B722),"000"))</f>
        <v/>
      </c>
      <c r="B722" s="218"/>
      <c r="C722" s="218"/>
      <c r="D722" s="218"/>
      <c r="E722" s="219"/>
      <c r="F722" s="220"/>
      <c r="G722" s="217"/>
      <c r="H722" s="221"/>
      <c r="I722" s="222"/>
      <c r="J722" s="222"/>
      <c r="K722" s="218"/>
      <c r="L722" s="223"/>
      <c r="M722" s="214"/>
      <c r="N722" s="225"/>
      <c r="O722" s="224"/>
      <c r="P722" s="224"/>
      <c r="Q722" s="224"/>
      <c r="R722" s="224" t="str">
        <f t="shared" si="14"/>
        <v/>
      </c>
      <c r="S722" s="218"/>
      <c r="T722" s="217"/>
    </row>
    <row r="723" spans="1:20" ht="23.25" customHeight="1" x14ac:dyDescent="0.25">
      <c r="A723" s="208" t="str">
        <f>IF(B723="","",B723&amp;"-"&amp;TEXT(COUNTIF(B$2:B723,B723),"000"))</f>
        <v/>
      </c>
      <c r="B723" s="209"/>
      <c r="C723" s="218"/>
      <c r="D723" s="209"/>
      <c r="E723" s="210"/>
      <c r="F723" s="211"/>
      <c r="G723" s="208"/>
      <c r="H723" s="212"/>
      <c r="I723" s="213"/>
      <c r="J723" s="213"/>
      <c r="K723" s="209"/>
      <c r="L723" s="223"/>
      <c r="M723" s="214"/>
      <c r="N723" s="215"/>
      <c r="O723" s="216"/>
      <c r="P723" s="216"/>
      <c r="Q723" s="216"/>
      <c r="R723" s="216" t="str">
        <f t="shared" si="14"/>
        <v/>
      </c>
      <c r="S723" s="209"/>
      <c r="T723" s="208"/>
    </row>
    <row r="724" spans="1:20" ht="23.25" customHeight="1" x14ac:dyDescent="0.25">
      <c r="A724" s="217" t="str">
        <f>IF(B724="","",B724&amp;"-"&amp;TEXT(COUNTIF(B$2:B724,B724),"000"))</f>
        <v/>
      </c>
      <c r="B724" s="218"/>
      <c r="C724" s="218"/>
      <c r="D724" s="218"/>
      <c r="E724" s="219"/>
      <c r="F724" s="220"/>
      <c r="G724" s="217"/>
      <c r="H724" s="221"/>
      <c r="I724" s="222"/>
      <c r="J724" s="222"/>
      <c r="K724" s="218"/>
      <c r="L724" s="223"/>
      <c r="M724" s="214"/>
      <c r="N724" s="225"/>
      <c r="O724" s="224"/>
      <c r="P724" s="224"/>
      <c r="Q724" s="224"/>
      <c r="R724" s="224" t="str">
        <f t="shared" si="14"/>
        <v/>
      </c>
      <c r="S724" s="218"/>
      <c r="T724" s="217"/>
    </row>
    <row r="725" spans="1:20" ht="23.25" customHeight="1" x14ac:dyDescent="0.25">
      <c r="A725" s="208" t="str">
        <f>IF(B725="","",B725&amp;"-"&amp;TEXT(COUNTIF(B$2:B725,B725),"000"))</f>
        <v/>
      </c>
      <c r="B725" s="209"/>
      <c r="C725" s="218"/>
      <c r="D725" s="209"/>
      <c r="E725" s="210"/>
      <c r="F725" s="211"/>
      <c r="G725" s="208"/>
      <c r="H725" s="212"/>
      <c r="I725" s="213"/>
      <c r="J725" s="213"/>
      <c r="K725" s="209"/>
      <c r="L725" s="223"/>
      <c r="M725" s="214"/>
      <c r="N725" s="215"/>
      <c r="O725" s="216"/>
      <c r="P725" s="216"/>
      <c r="Q725" s="216"/>
      <c r="R725" s="216" t="str">
        <f t="shared" si="14"/>
        <v/>
      </c>
      <c r="S725" s="209"/>
      <c r="T725" s="208"/>
    </row>
    <row r="726" spans="1:20" ht="23.25" customHeight="1" x14ac:dyDescent="0.25">
      <c r="A726" s="217" t="str">
        <f>IF(B726="","",B726&amp;"-"&amp;TEXT(COUNTIF(B$2:B726,B726),"000"))</f>
        <v/>
      </c>
      <c r="B726" s="218"/>
      <c r="C726" s="218"/>
      <c r="D726" s="218"/>
      <c r="E726" s="219"/>
      <c r="F726" s="220"/>
      <c r="G726" s="217"/>
      <c r="H726" s="221"/>
      <c r="I726" s="222"/>
      <c r="J726" s="222"/>
      <c r="K726" s="218"/>
      <c r="L726" s="223"/>
      <c r="M726" s="214"/>
      <c r="N726" s="225"/>
      <c r="O726" s="224"/>
      <c r="P726" s="224"/>
      <c r="Q726" s="224"/>
      <c r="R726" s="224" t="str">
        <f t="shared" si="14"/>
        <v/>
      </c>
      <c r="S726" s="218"/>
      <c r="T726" s="217"/>
    </row>
    <row r="727" spans="1:20" ht="23.25" customHeight="1" x14ac:dyDescent="0.25">
      <c r="A727" s="208" t="str">
        <f>IF(B727="","",B727&amp;"-"&amp;TEXT(COUNTIF(B$2:B727,B727),"000"))</f>
        <v/>
      </c>
      <c r="B727" s="209"/>
      <c r="C727" s="218"/>
      <c r="D727" s="209"/>
      <c r="E727" s="210"/>
      <c r="F727" s="211"/>
      <c r="G727" s="208"/>
      <c r="H727" s="212"/>
      <c r="I727" s="213"/>
      <c r="J727" s="213"/>
      <c r="K727" s="209"/>
      <c r="L727" s="223"/>
      <c r="M727" s="214"/>
      <c r="N727" s="215"/>
      <c r="O727" s="216"/>
      <c r="P727" s="216"/>
      <c r="Q727" s="216"/>
      <c r="R727" s="216" t="str">
        <f t="shared" si="14"/>
        <v/>
      </c>
      <c r="S727" s="209"/>
      <c r="T727" s="208"/>
    </row>
    <row r="728" spans="1:20" ht="23.25" customHeight="1" x14ac:dyDescent="0.25">
      <c r="A728" s="217" t="str">
        <f>IF(B728="","",B728&amp;"-"&amp;TEXT(COUNTIF(B$2:B728,B728),"000"))</f>
        <v/>
      </c>
      <c r="B728" s="218"/>
      <c r="C728" s="218"/>
      <c r="D728" s="218"/>
      <c r="E728" s="219"/>
      <c r="F728" s="220"/>
      <c r="G728" s="217"/>
      <c r="H728" s="221"/>
      <c r="I728" s="222"/>
      <c r="J728" s="222"/>
      <c r="K728" s="218"/>
      <c r="L728" s="223"/>
      <c r="M728" s="214"/>
      <c r="N728" s="225"/>
      <c r="O728" s="224"/>
      <c r="P728" s="224"/>
      <c r="Q728" s="224"/>
      <c r="R728" s="224" t="str">
        <f t="shared" si="14"/>
        <v/>
      </c>
      <c r="S728" s="218"/>
      <c r="T728" s="217"/>
    </row>
    <row r="729" spans="1:20" ht="23.25" customHeight="1" x14ac:dyDescent="0.25">
      <c r="A729" s="208" t="str">
        <f>IF(B729="","",B729&amp;"-"&amp;TEXT(COUNTIF(B$2:B729,B729),"000"))</f>
        <v/>
      </c>
      <c r="B729" s="209"/>
      <c r="C729" s="218"/>
      <c r="D729" s="209"/>
      <c r="E729" s="210"/>
      <c r="F729" s="211"/>
      <c r="G729" s="208"/>
      <c r="H729" s="212"/>
      <c r="I729" s="213"/>
      <c r="J729" s="213"/>
      <c r="K729" s="209"/>
      <c r="L729" s="223"/>
      <c r="M729" s="214"/>
      <c r="N729" s="215"/>
      <c r="O729" s="216"/>
      <c r="P729" s="216"/>
      <c r="Q729" s="216"/>
      <c r="R729" s="216" t="str">
        <f t="shared" si="14"/>
        <v/>
      </c>
      <c r="S729" s="209"/>
      <c r="T729" s="208"/>
    </row>
    <row r="730" spans="1:20" ht="23.25" customHeight="1" x14ac:dyDescent="0.25">
      <c r="A730" s="217" t="str">
        <f>IF(B730="","",B730&amp;"-"&amp;TEXT(COUNTIF(B$2:B730,B730),"000"))</f>
        <v/>
      </c>
      <c r="B730" s="218"/>
      <c r="C730" s="218"/>
      <c r="D730" s="218"/>
      <c r="E730" s="219"/>
      <c r="F730" s="220"/>
      <c r="G730" s="217"/>
      <c r="H730" s="221"/>
      <c r="I730" s="222"/>
      <c r="J730" s="222"/>
      <c r="K730" s="218"/>
      <c r="L730" s="223"/>
      <c r="M730" s="214"/>
      <c r="N730" s="225"/>
      <c r="O730" s="224"/>
      <c r="P730" s="224"/>
      <c r="Q730" s="224"/>
      <c r="R730" s="224" t="str">
        <f t="shared" si="14"/>
        <v/>
      </c>
      <c r="S730" s="218"/>
      <c r="T730" s="217"/>
    </row>
    <row r="731" spans="1:20" ht="23.25" customHeight="1" x14ac:dyDescent="0.25">
      <c r="A731" s="208" t="str">
        <f>IF(B731="","",B731&amp;"-"&amp;TEXT(COUNTIF(B$2:B731,B731),"000"))</f>
        <v/>
      </c>
      <c r="B731" s="209"/>
      <c r="C731" s="218"/>
      <c r="D731" s="209"/>
      <c r="E731" s="210"/>
      <c r="F731" s="211"/>
      <c r="G731" s="208"/>
      <c r="H731" s="212"/>
      <c r="I731" s="213"/>
      <c r="J731" s="213"/>
      <c r="K731" s="209"/>
      <c r="L731" s="223"/>
      <c r="M731" s="214"/>
      <c r="N731" s="215"/>
      <c r="O731" s="216"/>
      <c r="P731" s="216"/>
      <c r="Q731" s="216"/>
      <c r="R731" s="216" t="str">
        <f t="shared" si="14"/>
        <v/>
      </c>
      <c r="S731" s="209"/>
      <c r="T731" s="208"/>
    </row>
    <row r="732" spans="1:20" ht="23.25" customHeight="1" x14ac:dyDescent="0.25">
      <c r="A732" s="217" t="str">
        <f>IF(B732="","",B732&amp;"-"&amp;TEXT(COUNTIF(B$2:B732,B732),"000"))</f>
        <v/>
      </c>
      <c r="B732" s="218"/>
      <c r="C732" s="218"/>
      <c r="D732" s="218"/>
      <c r="E732" s="219"/>
      <c r="F732" s="220"/>
      <c r="G732" s="217"/>
      <c r="H732" s="221"/>
      <c r="I732" s="222"/>
      <c r="J732" s="222"/>
      <c r="K732" s="218"/>
      <c r="L732" s="223"/>
      <c r="M732" s="214"/>
      <c r="N732" s="225"/>
      <c r="O732" s="224"/>
      <c r="P732" s="224"/>
      <c r="Q732" s="224"/>
      <c r="R732" s="224" t="str">
        <f t="shared" si="14"/>
        <v/>
      </c>
      <c r="S732" s="218"/>
      <c r="T732" s="217"/>
    </row>
    <row r="733" spans="1:20" ht="23.25" customHeight="1" x14ac:dyDescent="0.25">
      <c r="A733" s="208" t="str">
        <f>IF(B733="","",B733&amp;"-"&amp;TEXT(COUNTIF(B$2:B733,B733),"000"))</f>
        <v/>
      </c>
      <c r="B733" s="209"/>
      <c r="C733" s="218"/>
      <c r="D733" s="209"/>
      <c r="E733" s="210"/>
      <c r="F733" s="211"/>
      <c r="G733" s="208"/>
      <c r="H733" s="212"/>
      <c r="I733" s="213"/>
      <c r="J733" s="213"/>
      <c r="K733" s="209"/>
      <c r="L733" s="223"/>
      <c r="M733" s="214"/>
      <c r="N733" s="215"/>
      <c r="O733" s="216"/>
      <c r="P733" s="216"/>
      <c r="Q733" s="216"/>
      <c r="R733" s="216" t="str">
        <f t="shared" si="14"/>
        <v/>
      </c>
      <c r="S733" s="209"/>
      <c r="T733" s="208"/>
    </row>
    <row r="734" spans="1:20" ht="23.25" customHeight="1" x14ac:dyDescent="0.25">
      <c r="A734" s="217" t="str">
        <f>IF(B734="","",B734&amp;"-"&amp;TEXT(COUNTIF(B$2:B734,B734),"000"))</f>
        <v/>
      </c>
      <c r="B734" s="218"/>
      <c r="C734" s="218"/>
      <c r="D734" s="218"/>
      <c r="E734" s="219"/>
      <c r="F734" s="220"/>
      <c r="G734" s="217"/>
      <c r="H734" s="221"/>
      <c r="I734" s="222"/>
      <c r="J734" s="222"/>
      <c r="K734" s="218"/>
      <c r="L734" s="223"/>
      <c r="M734" s="214"/>
      <c r="N734" s="225"/>
      <c r="O734" s="224"/>
      <c r="P734" s="224"/>
      <c r="Q734" s="224"/>
      <c r="R734" s="224" t="str">
        <f t="shared" si="14"/>
        <v/>
      </c>
      <c r="S734" s="218"/>
      <c r="T734" s="217"/>
    </row>
    <row r="735" spans="1:20" ht="23.25" customHeight="1" x14ac:dyDescent="0.25">
      <c r="A735" s="208" t="str">
        <f>IF(B735="","",B735&amp;"-"&amp;TEXT(COUNTIF(B$2:B735,B735),"000"))</f>
        <v/>
      </c>
      <c r="B735" s="209"/>
      <c r="C735" s="218"/>
      <c r="D735" s="209"/>
      <c r="E735" s="210"/>
      <c r="F735" s="211"/>
      <c r="G735" s="208"/>
      <c r="H735" s="212"/>
      <c r="I735" s="213"/>
      <c r="J735" s="213"/>
      <c r="K735" s="209"/>
      <c r="L735" s="223"/>
      <c r="M735" s="214"/>
      <c r="N735" s="215"/>
      <c r="O735" s="216"/>
      <c r="P735" s="216"/>
      <c r="Q735" s="216"/>
      <c r="R735" s="216" t="str">
        <f t="shared" si="14"/>
        <v/>
      </c>
      <c r="S735" s="209"/>
      <c r="T735" s="208"/>
    </row>
    <row r="736" spans="1:20" ht="23.25" customHeight="1" x14ac:dyDescent="0.25">
      <c r="A736" s="217" t="str">
        <f>IF(B736="","",B736&amp;"-"&amp;TEXT(COUNTIF(B$2:B736,B736),"000"))</f>
        <v/>
      </c>
      <c r="B736" s="218"/>
      <c r="C736" s="218"/>
      <c r="D736" s="218"/>
      <c r="E736" s="219"/>
      <c r="F736" s="220"/>
      <c r="G736" s="217"/>
      <c r="H736" s="221"/>
      <c r="I736" s="222"/>
      <c r="J736" s="222"/>
      <c r="K736" s="218"/>
      <c r="L736" s="223"/>
      <c r="M736" s="214"/>
      <c r="N736" s="225"/>
      <c r="O736" s="224"/>
      <c r="P736" s="224"/>
      <c r="Q736" s="224"/>
      <c r="R736" s="224" t="str">
        <f t="shared" si="14"/>
        <v/>
      </c>
      <c r="S736" s="218"/>
      <c r="T736" s="217"/>
    </row>
    <row r="737" spans="1:20" ht="23.25" customHeight="1" x14ac:dyDescent="0.25">
      <c r="A737" s="208" t="str">
        <f>IF(B737="","",B737&amp;"-"&amp;TEXT(COUNTIF(B$2:B737,B737),"000"))</f>
        <v/>
      </c>
      <c r="B737" s="209"/>
      <c r="C737" s="218"/>
      <c r="D737" s="209"/>
      <c r="E737" s="210"/>
      <c r="F737" s="211"/>
      <c r="G737" s="208"/>
      <c r="H737" s="212"/>
      <c r="I737" s="213"/>
      <c r="J737" s="213"/>
      <c r="K737" s="209"/>
      <c r="L737" s="223"/>
      <c r="M737" s="214"/>
      <c r="N737" s="215"/>
      <c r="O737" s="216"/>
      <c r="P737" s="216"/>
      <c r="Q737" s="216"/>
      <c r="R737" s="216" t="str">
        <f t="shared" si="14"/>
        <v/>
      </c>
      <c r="S737" s="209"/>
      <c r="T737" s="208"/>
    </row>
    <row r="738" spans="1:20" ht="23.25" customHeight="1" x14ac:dyDescent="0.25">
      <c r="A738" s="217" t="str">
        <f>IF(B738="","",B738&amp;"-"&amp;TEXT(COUNTIF(B$2:B738,B738),"000"))</f>
        <v/>
      </c>
      <c r="B738" s="218"/>
      <c r="C738" s="218"/>
      <c r="D738" s="218"/>
      <c r="E738" s="219"/>
      <c r="F738" s="220"/>
      <c r="G738" s="217"/>
      <c r="H738" s="221"/>
      <c r="I738" s="222"/>
      <c r="J738" s="222"/>
      <c r="K738" s="218"/>
      <c r="L738" s="223"/>
      <c r="M738" s="214"/>
      <c r="N738" s="225"/>
      <c r="O738" s="224"/>
      <c r="P738" s="224"/>
      <c r="Q738" s="224"/>
      <c r="R738" s="224" t="str">
        <f t="shared" si="14"/>
        <v/>
      </c>
      <c r="S738" s="218"/>
      <c r="T738" s="217"/>
    </row>
    <row r="739" spans="1:20" ht="23.25" customHeight="1" x14ac:dyDescent="0.25">
      <c r="A739" s="208" t="str">
        <f>IF(B739="","",B739&amp;"-"&amp;TEXT(COUNTIF(B$2:B739,B739),"000"))</f>
        <v/>
      </c>
      <c r="B739" s="209"/>
      <c r="C739" s="218"/>
      <c r="D739" s="209"/>
      <c r="E739" s="210"/>
      <c r="F739" s="211"/>
      <c r="G739" s="208"/>
      <c r="H739" s="212"/>
      <c r="I739" s="213"/>
      <c r="J739" s="213"/>
      <c r="K739" s="209"/>
      <c r="L739" s="223"/>
      <c r="M739" s="214"/>
      <c r="N739" s="215"/>
      <c r="O739" s="216"/>
      <c r="P739" s="216"/>
      <c r="Q739" s="216"/>
      <c r="R739" s="216" t="str">
        <f t="shared" si="14"/>
        <v/>
      </c>
      <c r="S739" s="209"/>
      <c r="T739" s="208"/>
    </row>
    <row r="740" spans="1:20" ht="23.25" customHeight="1" x14ac:dyDescent="0.25">
      <c r="A740" s="217" t="str">
        <f>IF(B740="","",B740&amp;"-"&amp;TEXT(COUNTIF(B$2:B740,B740),"000"))</f>
        <v/>
      </c>
      <c r="B740" s="218"/>
      <c r="C740" s="218"/>
      <c r="D740" s="218"/>
      <c r="E740" s="219"/>
      <c r="F740" s="220"/>
      <c r="G740" s="217"/>
      <c r="H740" s="221"/>
      <c r="I740" s="222"/>
      <c r="J740" s="222"/>
      <c r="K740" s="218"/>
      <c r="L740" s="223"/>
      <c r="M740" s="214"/>
      <c r="N740" s="225"/>
      <c r="O740" s="224"/>
      <c r="P740" s="224"/>
      <c r="Q740" s="224"/>
      <c r="R740" s="224" t="str">
        <f t="shared" si="14"/>
        <v/>
      </c>
      <c r="S740" s="218"/>
      <c r="T740" s="217"/>
    </row>
    <row r="741" spans="1:20" ht="23.25" customHeight="1" x14ac:dyDescent="0.25">
      <c r="A741" s="208" t="str">
        <f>IF(B741="","",B741&amp;"-"&amp;TEXT(COUNTIF(B$2:B741,B741),"000"))</f>
        <v/>
      </c>
      <c r="B741" s="209"/>
      <c r="C741" s="218"/>
      <c r="D741" s="209"/>
      <c r="E741" s="210"/>
      <c r="F741" s="211"/>
      <c r="G741" s="208"/>
      <c r="H741" s="212"/>
      <c r="I741" s="213"/>
      <c r="J741" s="213"/>
      <c r="K741" s="209"/>
      <c r="L741" s="223"/>
      <c r="M741" s="214"/>
      <c r="N741" s="215"/>
      <c r="O741" s="216"/>
      <c r="P741" s="216"/>
      <c r="Q741" s="216"/>
      <c r="R741" s="216" t="str">
        <f t="shared" si="14"/>
        <v/>
      </c>
      <c r="S741" s="209"/>
      <c r="T741" s="208"/>
    </row>
    <row r="742" spans="1:20" ht="23.25" customHeight="1" x14ac:dyDescent="0.25">
      <c r="A742" s="217" t="str">
        <f>IF(B742="","",B742&amp;"-"&amp;TEXT(COUNTIF(B$2:B742,B742),"000"))</f>
        <v/>
      </c>
      <c r="B742" s="218"/>
      <c r="C742" s="218"/>
      <c r="D742" s="218"/>
      <c r="E742" s="219"/>
      <c r="F742" s="220"/>
      <c r="G742" s="217"/>
      <c r="H742" s="221"/>
      <c r="I742" s="222"/>
      <c r="J742" s="222"/>
      <c r="K742" s="218"/>
      <c r="L742" s="223"/>
      <c r="M742" s="214"/>
      <c r="N742" s="225"/>
      <c r="O742" s="224"/>
      <c r="P742" s="224"/>
      <c r="Q742" s="224"/>
      <c r="R742" s="224" t="str">
        <f t="shared" si="14"/>
        <v/>
      </c>
      <c r="S742" s="218"/>
      <c r="T742" s="217"/>
    </row>
    <row r="743" spans="1:20" ht="23.25" customHeight="1" x14ac:dyDescent="0.25">
      <c r="A743" s="208" t="str">
        <f>IF(B743="","",B743&amp;"-"&amp;TEXT(COUNTIF(B$2:B743,B743),"000"))</f>
        <v/>
      </c>
      <c r="B743" s="209"/>
      <c r="C743" s="218"/>
      <c r="D743" s="209"/>
      <c r="E743" s="210"/>
      <c r="F743" s="211"/>
      <c r="G743" s="208"/>
      <c r="H743" s="212"/>
      <c r="I743" s="213"/>
      <c r="J743" s="213"/>
      <c r="K743" s="209"/>
      <c r="L743" s="223"/>
      <c r="M743" s="214"/>
      <c r="N743" s="215"/>
      <c r="O743" s="216"/>
      <c r="P743" s="216"/>
      <c r="Q743" s="216"/>
      <c r="R743" s="216" t="str">
        <f t="shared" si="14"/>
        <v/>
      </c>
      <c r="S743" s="209"/>
      <c r="T743" s="208"/>
    </row>
    <row r="744" spans="1:20" ht="23.25" customHeight="1" x14ac:dyDescent="0.25">
      <c r="A744" s="217" t="str">
        <f>IF(B744="","",B744&amp;"-"&amp;TEXT(COUNTIF(B$2:B744,B744),"000"))</f>
        <v/>
      </c>
      <c r="B744" s="218"/>
      <c r="C744" s="218"/>
      <c r="D744" s="218"/>
      <c r="E744" s="219"/>
      <c r="F744" s="220"/>
      <c r="G744" s="217"/>
      <c r="H744" s="221"/>
      <c r="I744" s="222"/>
      <c r="J744" s="222"/>
      <c r="K744" s="218"/>
      <c r="L744" s="223"/>
      <c r="M744" s="214"/>
      <c r="N744" s="225"/>
      <c r="O744" s="224"/>
      <c r="P744" s="224"/>
      <c r="Q744" s="224"/>
      <c r="R744" s="224" t="str">
        <f t="shared" si="14"/>
        <v/>
      </c>
      <c r="S744" s="218"/>
      <c r="T744" s="217"/>
    </row>
    <row r="745" spans="1:20" ht="23.25" customHeight="1" x14ac:dyDescent="0.25">
      <c r="A745" s="208" t="str">
        <f>IF(B745="","",B745&amp;"-"&amp;TEXT(COUNTIF(B$2:B745,B745),"000"))</f>
        <v/>
      </c>
      <c r="B745" s="209"/>
      <c r="C745" s="218"/>
      <c r="D745" s="209"/>
      <c r="E745" s="210"/>
      <c r="F745" s="211"/>
      <c r="G745" s="208"/>
      <c r="H745" s="212"/>
      <c r="I745" s="213"/>
      <c r="J745" s="213"/>
      <c r="K745" s="209"/>
      <c r="L745" s="223"/>
      <c r="M745" s="214"/>
      <c r="N745" s="215"/>
      <c r="O745" s="216"/>
      <c r="P745" s="216"/>
      <c r="Q745" s="216"/>
      <c r="R745" s="216" t="str">
        <f t="shared" si="14"/>
        <v/>
      </c>
      <c r="S745" s="209"/>
      <c r="T745" s="208"/>
    </row>
    <row r="746" spans="1:20" ht="23.25" customHeight="1" x14ac:dyDescent="0.25">
      <c r="A746" s="217" t="str">
        <f>IF(B746="","",B746&amp;"-"&amp;TEXT(COUNTIF(B$2:B746,B746),"000"))</f>
        <v/>
      </c>
      <c r="B746" s="218"/>
      <c r="C746" s="218"/>
      <c r="D746" s="218"/>
      <c r="E746" s="219"/>
      <c r="F746" s="220"/>
      <c r="G746" s="217"/>
      <c r="H746" s="221"/>
      <c r="I746" s="222"/>
      <c r="J746" s="222"/>
      <c r="K746" s="218"/>
      <c r="L746" s="223"/>
      <c r="M746" s="214"/>
      <c r="N746" s="225"/>
      <c r="O746" s="224"/>
      <c r="P746" s="224"/>
      <c r="Q746" s="224"/>
      <c r="R746" s="224" t="str">
        <f t="shared" si="14"/>
        <v/>
      </c>
      <c r="S746" s="218"/>
      <c r="T746" s="217"/>
    </row>
    <row r="747" spans="1:20" ht="23.25" customHeight="1" x14ac:dyDescent="0.25">
      <c r="A747" s="208" t="str">
        <f>IF(B747="","",B747&amp;"-"&amp;TEXT(COUNTIF(B$2:B747,B747),"000"))</f>
        <v/>
      </c>
      <c r="B747" s="209"/>
      <c r="C747" s="218"/>
      <c r="D747" s="209"/>
      <c r="E747" s="210"/>
      <c r="F747" s="211"/>
      <c r="G747" s="208"/>
      <c r="H747" s="212"/>
      <c r="I747" s="213"/>
      <c r="J747" s="213"/>
      <c r="K747" s="209"/>
      <c r="L747" s="223"/>
      <c r="M747" s="214"/>
      <c r="N747" s="215"/>
      <c r="O747" s="216"/>
      <c r="P747" s="216"/>
      <c r="Q747" s="216"/>
      <c r="R747" s="216" t="str">
        <f t="shared" si="14"/>
        <v/>
      </c>
      <c r="S747" s="209"/>
      <c r="T747" s="208"/>
    </row>
    <row r="748" spans="1:20" ht="23.25" customHeight="1" x14ac:dyDescent="0.25">
      <c r="A748" s="217" t="str">
        <f>IF(B748="","",B748&amp;"-"&amp;TEXT(COUNTIF(B$2:B748,B748),"000"))</f>
        <v/>
      </c>
      <c r="B748" s="218"/>
      <c r="C748" s="218"/>
      <c r="D748" s="218"/>
      <c r="E748" s="219"/>
      <c r="F748" s="220"/>
      <c r="G748" s="217"/>
      <c r="H748" s="221"/>
      <c r="I748" s="222"/>
      <c r="J748" s="222"/>
      <c r="K748" s="218"/>
      <c r="L748" s="223"/>
      <c r="M748" s="214"/>
      <c r="N748" s="225"/>
      <c r="O748" s="224"/>
      <c r="P748" s="224"/>
      <c r="Q748" s="224"/>
      <c r="R748" s="224" t="str">
        <f t="shared" ref="R748" si="15">IF(B748="","",SUM(O748:Q748))</f>
        <v/>
      </c>
      <c r="S748" s="218"/>
      <c r="T748" s="217"/>
    </row>
    <row r="749" spans="1:20" ht="23.25" customHeight="1" x14ac:dyDescent="0.25">
      <c r="A749" s="203"/>
      <c r="B749" s="204"/>
      <c r="C749" s="204"/>
      <c r="D749" s="204"/>
      <c r="E749" s="203"/>
      <c r="F749" s="203"/>
      <c r="G749" s="203"/>
      <c r="H749" s="204"/>
      <c r="I749" s="205"/>
      <c r="J749" s="205"/>
      <c r="K749" s="204"/>
      <c r="L749" s="206"/>
      <c r="M749" s="203"/>
      <c r="N749" s="207"/>
      <c r="O749" s="207"/>
      <c r="P749" s="207"/>
      <c r="Q749" s="207"/>
      <c r="R749" s="207"/>
      <c r="S749" s="203"/>
      <c r="T749" s="203"/>
    </row>
  </sheetData>
  <sheetProtection formatCells="0" formatColumns="0" formatRows="0" insertColumns="0" insertRows="0" insertHyperlinks="0" deleteRows="0" sort="0" autoFilter="0" pivotTables="0"/>
  <autoFilter ref="A1:A748" xr:uid="{9A950031-0FEE-4C02-A480-D14B9CA90666}"/>
  <sortState xmlns:xlrd2="http://schemas.microsoft.com/office/spreadsheetml/2017/richdata2" ref="B2:T676">
    <sortCondition ref="B2:B676"/>
  </sortState>
  <phoneticPr fontId="6" type="noConversion"/>
  <conditionalFormatting sqref="C2:C748">
    <cfRule type="expression" dxfId="8" priority="6">
      <formula>TRIM(C2)="Realizado"</formula>
    </cfRule>
    <cfRule type="expression" dxfId="7" priority="7">
      <formula>TRIM(C2)="Cancelado"</formula>
    </cfRule>
    <cfRule type="expression" dxfId="6" priority="8">
      <formula>TRIM(C2)="Adiado"</formula>
    </cfRule>
    <cfRule type="expression" dxfId="5" priority="9">
      <formula>AND(TRIM(C2)="A realizar",ISODD(ROW(C2)))</formula>
    </cfRule>
  </conditionalFormatting>
  <conditionalFormatting sqref="L680">
    <cfRule type="containsBlanks" dxfId="4" priority="3">
      <formula>LEN(TRIM(L680))=0</formula>
    </cfRule>
  </conditionalFormatting>
  <conditionalFormatting sqref="L689:L690">
    <cfRule type="containsBlanks" dxfId="3" priority="1">
      <formula>LEN(TRIM(L689))=0</formula>
    </cfRule>
  </conditionalFormatting>
  <conditionalFormatting sqref="M1:M513 L1:L537 L678">
    <cfRule type="containsBlanks" dxfId="2" priority="4">
      <formula>LEN(TRIM(L1))=0</formula>
    </cfRule>
  </conditionalFormatting>
  <conditionalFormatting sqref="M517:M675 L539:L675 L676:M676">
    <cfRule type="containsBlanks" dxfId="1" priority="5">
      <formula>LEN(TRIM(L517))=0</formula>
    </cfRule>
  </conditionalFormatting>
  <dataValidations xWindow="1148" yWindow="427" count="8">
    <dataValidation type="custom" allowBlank="1" showDropDown="1" showErrorMessage="1" sqref="H407 H205 H411 H389:H390 H372" xr:uid="{1DF6995E-11CB-4123-87CF-1682726D7B94}">
      <formula1>OR(NOT(ISERROR(DATEVALUE(H205))), AND(ISNUMBER(H205), LEFT(CELL("format", H205))="D"))</formula1>
    </dataValidation>
    <dataValidation type="decimal" allowBlank="1" showDropDown="1" showInputMessage="1" showErrorMessage="1" prompt="Insira um número entre 0 e 10000" sqref="O2:P9 P10:P12 O13:P19 P20 O21:P23 P24:P25 O26:P26 O27:O28 Q27:Q28 O29:P29 O30 Q30 O31:P37 O38 Q38 O39:P44 O45:O46 Q45:Q46 O47:P50 O51:O54 P55 O56:P62 O63:O64 P65 O66:P68 P69:P70 O71:P71 Q72:Q74 O75:O77 O78:P85 O86:O89 P90 O91:O92 O93:P93 O94:O95 O96:P100 O101:O102 Q101:Q102 O103:P105 O106 O107:P108 O109 O110:P114 P115 O116:P129 O130 Q130 O131:P142 O175 Q175 P249 O250:P259 P260:P261 O262:P263 O267:P274 O275 P327 O328:P329 Q432 Q434 Q436 O505:P513 O518:P676 N514:N517 O452:P488 O331:P450 O276:P326 N266:P266 O265:P265 O176:P248 O144:P174" xr:uid="{13F35D4C-BD71-4C7F-994E-F68E0D6F0AB9}">
      <formula1>0</formula1>
      <formula2>10000</formula2>
    </dataValidation>
    <dataValidation type="custom" allowBlank="1" showDropDown="1" showInputMessage="1" showErrorMessage="1" prompt="Digite uma data válida" sqref="H119:H124" xr:uid="{1ED3299C-A6EA-4539-87A3-911FF52E82D9}">
      <formula1>OR(NOT(ISERROR(DATEVALUE(H119))), AND(ISNUMBER(H119), LEFT(CELL("format", H119))="D"))</formula1>
    </dataValidation>
    <dataValidation type="decimal" allowBlank="1" showDropDown="1" showInputMessage="1" showErrorMessage="1" prompt="Insira um número entre 0 e 100000" sqref="P275 N2:N142 N505:N513 N328:N329 N327:O327 N260:O261 N250:N259 N249:O249 N518:N676 M514:M516 N331:N488 N286:N326 N267:N284 N262:N265 N144:N248" xr:uid="{DBE6D4E5-2B97-4708-8235-54BE1BF5A5E4}">
      <formula1>0</formula1>
      <formula2>100000</formula2>
    </dataValidation>
    <dataValidation type="decimal" allowBlank="1" showDropDown="1" showInputMessage="1" showErrorMessage="1" prompt="Insira um número entre 0 e 100" sqref="M505:M513 M517:M676 M331:M488 M2:M329" xr:uid="{14DDE421-12AA-4E52-9C87-8E80CD514199}">
      <formula1>0</formula1>
      <formula2>100</formula2>
    </dataValidation>
    <dataValidation type="list" allowBlank="1" showInputMessage="1" showErrorMessage="1" prompt="Clique e insira um valor de a lista de itens" sqref="F518" xr:uid="{04F4F39B-F406-4ECC-A64A-F7A18A81A48D}">
      <formula1>"Interno,Externo,Híbrido"</formula1>
    </dataValidation>
    <dataValidation type="date" allowBlank="1" showInputMessage="1" showErrorMessage="1" errorTitle="Erro" error="Insira uma data válida. Formato: DD/MM/AAAA" sqref="I594:J594 I647:J648 I658:J658 I662:J662 I664:I673 I644:J645 I596:J640 I573:J590 I463:J571 I2:J460 I676:J676 J664:J674 I681:J702 I704:J1048576" xr:uid="{A71E4390-A059-418C-8F5C-AD2AF445253E}">
      <formula1>41640</formula1>
      <formula2>47848</formula2>
    </dataValidation>
    <dataValidation type="decimal" allowBlank="1" showInputMessage="1" showErrorMessage="1" sqref="L2:L1048576" xr:uid="{C37BD9BF-AAEE-43DA-9B88-F91BD5712C11}">
      <formula1>0</formula1>
      <formula2>10000000000000</formula2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148" yWindow="427" count="6">
        <x14:dataValidation type="list" allowBlank="1" showInputMessage="1" showErrorMessage="1" xr:uid="{E6528F63-8F9D-48BE-BC94-B348189B6907}">
          <x14:formula1>
            <xm:f>PlanoCap!$C$2:$C$11</xm:f>
          </x14:formula1>
          <xm:sqref>G2:G656 G499998:G1048576</xm:sqref>
        </x14:dataValidation>
        <x14:dataValidation type="list" allowBlank="1" showInputMessage="1" showErrorMessage="1" prompt="Clique e insira um valor de a lista de itens" xr:uid="{7D711C46-7407-4505-A33B-D25FC1447F10}">
          <x14:formula1>
            <xm:f>'Validação Dados'!$A$2:$A$5</xm:f>
          </x14:formula1>
          <xm:sqref>F2:F517 F519:F1048576</xm:sqref>
        </x14:dataValidation>
        <x14:dataValidation type="list" allowBlank="1" showInputMessage="1" showErrorMessage="1" xr:uid="{ECAC746E-0CEC-41DD-9623-D07F3356EF63}">
          <x14:formula1>
            <xm:f>'Validação Dados'!$D$2:$D$5</xm:f>
          </x14:formula1>
          <xm:sqref>C2:C656 C999:C1048576</xm:sqref>
        </x14:dataValidation>
        <x14:dataValidation type="list" allowBlank="1" showInputMessage="1" showErrorMessage="1" xr:uid="{32003C1E-759E-41EB-9F5A-DC7AABDF4B7E}">
          <x14:formula1>
            <xm:f>'Validação Dados'!$B$2:$B$4</xm:f>
          </x14:formula1>
          <xm:sqref>K2:K1048576</xm:sqref>
        </x14:dataValidation>
        <x14:dataValidation type="list" allowBlank="1" showInputMessage="1" showErrorMessage="1" xr:uid="{37624C02-3E57-433F-9064-1B08E22D0AC2}">
          <x14:formula1>
            <xm:f>PlanoCap2627!$C$2:$C$12</xm:f>
          </x14:formula1>
          <xm:sqref>G657:G499997</xm:sqref>
        </x14:dataValidation>
        <x14:dataValidation type="list" allowBlank="1" showInputMessage="1" showErrorMessage="1" xr:uid="{DE03874B-173A-424D-BA97-62B0087ADF69}">
          <x14:formula1>
            <xm:f>'Validação Dados'!$D$2:$D$6</xm:f>
          </x14:formula1>
          <xm:sqref>C657:C998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DC64-1F0F-42B0-9A3E-C24C3C78DB8C}">
  <dimension ref="A1:D88"/>
  <sheetViews>
    <sheetView tabSelected="1" workbookViewId="0"/>
  </sheetViews>
  <sheetFormatPr defaultRowHeight="15" x14ac:dyDescent="0.25"/>
  <cols>
    <col min="2" max="2" width="10.85546875" customWidth="1"/>
  </cols>
  <sheetData>
    <row r="1" spans="1:4" ht="18.75" x14ac:dyDescent="0.3">
      <c r="A1" s="280" t="s">
        <v>2991</v>
      </c>
    </row>
    <row r="3" spans="1:4" x14ac:dyDescent="0.25">
      <c r="A3" t="s">
        <v>0</v>
      </c>
      <c r="B3" t="s">
        <v>19</v>
      </c>
      <c r="C3" t="s">
        <v>2992</v>
      </c>
      <c r="D3" t="s">
        <v>2993</v>
      </c>
    </row>
    <row r="4" spans="1:4" x14ac:dyDescent="0.25">
      <c r="A4">
        <v>1</v>
      </c>
      <c r="B4" t="s">
        <v>2994</v>
      </c>
      <c r="D4" t="s">
        <v>3020</v>
      </c>
    </row>
    <row r="5" spans="1:4" x14ac:dyDescent="0.25">
      <c r="A5">
        <v>2</v>
      </c>
      <c r="B5" t="s">
        <v>2500</v>
      </c>
      <c r="D5" t="s">
        <v>3020</v>
      </c>
    </row>
    <row r="6" spans="1:4" x14ac:dyDescent="0.25">
      <c r="A6">
        <v>3</v>
      </c>
      <c r="B6" t="s">
        <v>1023</v>
      </c>
      <c r="D6" t="s">
        <v>3020</v>
      </c>
    </row>
    <row r="7" spans="1:4" x14ac:dyDescent="0.25">
      <c r="A7">
        <v>4</v>
      </c>
      <c r="B7" t="s">
        <v>2995</v>
      </c>
      <c r="D7" t="s">
        <v>3020</v>
      </c>
    </row>
    <row r="8" spans="1:4" x14ac:dyDescent="0.25">
      <c r="A8">
        <v>5</v>
      </c>
      <c r="B8" t="s">
        <v>2996</v>
      </c>
      <c r="D8" t="s">
        <v>3020</v>
      </c>
    </row>
    <row r="9" spans="1:4" x14ac:dyDescent="0.25">
      <c r="A9">
        <v>6</v>
      </c>
      <c r="B9" t="s">
        <v>2310</v>
      </c>
      <c r="D9" t="s">
        <v>3020</v>
      </c>
    </row>
    <row r="10" spans="1:4" x14ac:dyDescent="0.25">
      <c r="A10">
        <v>7</v>
      </c>
      <c r="B10" t="s">
        <v>2409</v>
      </c>
      <c r="D10" t="s">
        <v>3020</v>
      </c>
    </row>
    <row r="11" spans="1:4" x14ac:dyDescent="0.25">
      <c r="A11">
        <v>8</v>
      </c>
      <c r="B11" t="s">
        <v>2471</v>
      </c>
      <c r="D11" t="s">
        <v>3020</v>
      </c>
    </row>
    <row r="12" spans="1:4" x14ac:dyDescent="0.25">
      <c r="A12">
        <v>9</v>
      </c>
      <c r="B12" t="s">
        <v>2997</v>
      </c>
      <c r="D12" t="s">
        <v>3020</v>
      </c>
    </row>
    <row r="13" spans="1:4" x14ac:dyDescent="0.25">
      <c r="A13">
        <v>10</v>
      </c>
      <c r="B13" t="s">
        <v>2713</v>
      </c>
      <c r="D13" t="s">
        <v>3020</v>
      </c>
    </row>
    <row r="14" spans="1:4" x14ac:dyDescent="0.25">
      <c r="A14">
        <v>11</v>
      </c>
      <c r="B14" t="s">
        <v>2274</v>
      </c>
      <c r="D14" t="s">
        <v>3020</v>
      </c>
    </row>
    <row r="15" spans="1:4" x14ac:dyDescent="0.25">
      <c r="A15">
        <v>12</v>
      </c>
      <c r="B15" t="s">
        <v>2370</v>
      </c>
      <c r="D15" t="s">
        <v>3020</v>
      </c>
    </row>
    <row r="16" spans="1:4" x14ac:dyDescent="0.25">
      <c r="A16">
        <v>13</v>
      </c>
      <c r="B16" t="s">
        <v>2687</v>
      </c>
      <c r="D16" t="s">
        <v>3020</v>
      </c>
    </row>
    <row r="17" spans="1:4" x14ac:dyDescent="0.25">
      <c r="A17">
        <v>14</v>
      </c>
      <c r="B17" t="s">
        <v>1902</v>
      </c>
      <c r="D17" t="s">
        <v>3020</v>
      </c>
    </row>
    <row r="18" spans="1:4" x14ac:dyDescent="0.25">
      <c r="A18">
        <v>15</v>
      </c>
      <c r="B18" t="s">
        <v>571</v>
      </c>
      <c r="D18" t="s">
        <v>3020</v>
      </c>
    </row>
    <row r="19" spans="1:4" x14ac:dyDescent="0.25">
      <c r="A19">
        <v>16</v>
      </c>
      <c r="B19" t="s">
        <v>1951</v>
      </c>
      <c r="D19" t="s">
        <v>3020</v>
      </c>
    </row>
    <row r="20" spans="1:4" x14ac:dyDescent="0.25">
      <c r="A20">
        <v>17</v>
      </c>
      <c r="B20" t="s">
        <v>1785</v>
      </c>
      <c r="D20" t="s">
        <v>3020</v>
      </c>
    </row>
    <row r="21" spans="1:4" x14ac:dyDescent="0.25">
      <c r="A21">
        <v>18</v>
      </c>
      <c r="B21" t="s">
        <v>2115</v>
      </c>
      <c r="D21" t="s">
        <v>3020</v>
      </c>
    </row>
    <row r="22" spans="1:4" x14ac:dyDescent="0.25">
      <c r="A22">
        <v>19</v>
      </c>
      <c r="B22" t="s">
        <v>1343</v>
      </c>
      <c r="D22" t="s">
        <v>3020</v>
      </c>
    </row>
    <row r="23" spans="1:4" x14ac:dyDescent="0.25">
      <c r="A23">
        <v>20</v>
      </c>
      <c r="B23" t="s">
        <v>2255</v>
      </c>
      <c r="D23" t="s">
        <v>3020</v>
      </c>
    </row>
    <row r="24" spans="1:4" x14ac:dyDescent="0.25">
      <c r="A24">
        <v>21</v>
      </c>
      <c r="B24" t="s">
        <v>2998</v>
      </c>
      <c r="D24" t="s">
        <v>3020</v>
      </c>
    </row>
    <row r="25" spans="1:4" x14ac:dyDescent="0.25">
      <c r="A25">
        <v>22</v>
      </c>
      <c r="B25" t="s">
        <v>584</v>
      </c>
      <c r="D25" t="s">
        <v>3020</v>
      </c>
    </row>
    <row r="26" spans="1:4" x14ac:dyDescent="0.25">
      <c r="A26">
        <v>23</v>
      </c>
      <c r="B26" t="s">
        <v>2879</v>
      </c>
      <c r="D26" t="s">
        <v>3020</v>
      </c>
    </row>
    <row r="27" spans="1:4" x14ac:dyDescent="0.25">
      <c r="A27">
        <v>24</v>
      </c>
      <c r="B27" t="s">
        <v>2999</v>
      </c>
      <c r="D27" t="s">
        <v>3020</v>
      </c>
    </row>
    <row r="28" spans="1:4" x14ac:dyDescent="0.25">
      <c r="A28">
        <v>25</v>
      </c>
      <c r="B28" t="s">
        <v>472</v>
      </c>
      <c r="D28" t="s">
        <v>3020</v>
      </c>
    </row>
    <row r="29" spans="1:4" x14ac:dyDescent="0.25">
      <c r="A29">
        <v>26</v>
      </c>
      <c r="B29" t="s">
        <v>69</v>
      </c>
      <c r="D29" t="s">
        <v>3020</v>
      </c>
    </row>
    <row r="30" spans="1:4" x14ac:dyDescent="0.25">
      <c r="A30">
        <v>27</v>
      </c>
      <c r="B30" t="s">
        <v>3000</v>
      </c>
      <c r="D30" t="s">
        <v>3020</v>
      </c>
    </row>
    <row r="31" spans="1:4" x14ac:dyDescent="0.25">
      <c r="A31">
        <v>28</v>
      </c>
      <c r="B31" t="s">
        <v>2102</v>
      </c>
      <c r="D31" t="s">
        <v>3020</v>
      </c>
    </row>
    <row r="32" spans="1:4" x14ac:dyDescent="0.25">
      <c r="A32">
        <v>29</v>
      </c>
      <c r="B32" t="s">
        <v>2250</v>
      </c>
      <c r="D32" t="s">
        <v>3020</v>
      </c>
    </row>
    <row r="33" spans="1:4" x14ac:dyDescent="0.25">
      <c r="A33">
        <v>30</v>
      </c>
      <c r="B33" t="s">
        <v>2505</v>
      </c>
      <c r="D33" t="s">
        <v>3020</v>
      </c>
    </row>
    <row r="34" spans="1:4" x14ac:dyDescent="0.25">
      <c r="A34">
        <v>31</v>
      </c>
      <c r="B34" t="s">
        <v>3001</v>
      </c>
      <c r="D34" t="s">
        <v>3020</v>
      </c>
    </row>
    <row r="35" spans="1:4" x14ac:dyDescent="0.25">
      <c r="A35">
        <v>32</v>
      </c>
      <c r="B35" t="s">
        <v>3002</v>
      </c>
      <c r="D35" t="s">
        <v>3020</v>
      </c>
    </row>
    <row r="36" spans="1:4" x14ac:dyDescent="0.25">
      <c r="A36">
        <v>33</v>
      </c>
      <c r="B36" t="s">
        <v>1367</v>
      </c>
      <c r="D36" t="s">
        <v>3020</v>
      </c>
    </row>
    <row r="37" spans="1:4" x14ac:dyDescent="0.25">
      <c r="A37">
        <v>34</v>
      </c>
      <c r="B37" t="s">
        <v>1472</v>
      </c>
      <c r="D37" t="s">
        <v>3020</v>
      </c>
    </row>
    <row r="38" spans="1:4" x14ac:dyDescent="0.25">
      <c r="A38">
        <v>35</v>
      </c>
      <c r="B38" t="s">
        <v>549</v>
      </c>
      <c r="D38" t="s">
        <v>3020</v>
      </c>
    </row>
    <row r="39" spans="1:4" x14ac:dyDescent="0.25">
      <c r="A39">
        <v>36</v>
      </c>
      <c r="B39" t="s">
        <v>3003</v>
      </c>
      <c r="D39" t="s">
        <v>3020</v>
      </c>
    </row>
    <row r="40" spans="1:4" x14ac:dyDescent="0.25">
      <c r="A40">
        <v>37</v>
      </c>
      <c r="B40" t="s">
        <v>2147</v>
      </c>
      <c r="D40" t="s">
        <v>3020</v>
      </c>
    </row>
    <row r="41" spans="1:4" x14ac:dyDescent="0.25">
      <c r="A41">
        <v>38</v>
      </c>
      <c r="B41" t="s">
        <v>2875</v>
      </c>
      <c r="D41" t="s">
        <v>3020</v>
      </c>
    </row>
    <row r="42" spans="1:4" x14ac:dyDescent="0.25">
      <c r="A42">
        <v>39</v>
      </c>
      <c r="B42" t="s">
        <v>2572</v>
      </c>
      <c r="D42" t="s">
        <v>3020</v>
      </c>
    </row>
    <row r="43" spans="1:4" x14ac:dyDescent="0.25">
      <c r="A43">
        <v>40</v>
      </c>
      <c r="B43" t="s">
        <v>3004</v>
      </c>
      <c r="D43" t="s">
        <v>3020</v>
      </c>
    </row>
    <row r="44" spans="1:4" x14ac:dyDescent="0.25">
      <c r="A44">
        <v>41</v>
      </c>
      <c r="B44" t="s">
        <v>855</v>
      </c>
      <c r="D44" t="s">
        <v>3020</v>
      </c>
    </row>
    <row r="45" spans="1:4" x14ac:dyDescent="0.25">
      <c r="A45">
        <v>42</v>
      </c>
      <c r="B45" t="s">
        <v>710</v>
      </c>
      <c r="D45" t="s">
        <v>3020</v>
      </c>
    </row>
    <row r="46" spans="1:4" x14ac:dyDescent="0.25">
      <c r="A46">
        <v>43</v>
      </c>
      <c r="B46" t="s">
        <v>3005</v>
      </c>
      <c r="D46" t="s">
        <v>3020</v>
      </c>
    </row>
    <row r="47" spans="1:4" x14ac:dyDescent="0.25">
      <c r="A47">
        <v>44</v>
      </c>
      <c r="B47" t="s">
        <v>2154</v>
      </c>
      <c r="D47" t="s">
        <v>3020</v>
      </c>
    </row>
    <row r="48" spans="1:4" x14ac:dyDescent="0.25">
      <c r="A48">
        <v>45</v>
      </c>
      <c r="B48" t="s">
        <v>211</v>
      </c>
      <c r="D48" t="s">
        <v>3020</v>
      </c>
    </row>
    <row r="49" spans="1:4" x14ac:dyDescent="0.25">
      <c r="A49">
        <v>46</v>
      </c>
      <c r="B49" t="s">
        <v>966</v>
      </c>
      <c r="D49" t="s">
        <v>3020</v>
      </c>
    </row>
    <row r="50" spans="1:4" x14ac:dyDescent="0.25">
      <c r="A50">
        <v>47</v>
      </c>
      <c r="B50" t="s">
        <v>1400</v>
      </c>
      <c r="D50" t="s">
        <v>3020</v>
      </c>
    </row>
    <row r="51" spans="1:4" x14ac:dyDescent="0.25">
      <c r="A51">
        <v>48</v>
      </c>
      <c r="B51" t="s">
        <v>3006</v>
      </c>
      <c r="D51" t="s">
        <v>3020</v>
      </c>
    </row>
    <row r="52" spans="1:4" x14ac:dyDescent="0.25">
      <c r="A52">
        <v>49</v>
      </c>
      <c r="B52" t="s">
        <v>2770</v>
      </c>
      <c r="D52" t="s">
        <v>3020</v>
      </c>
    </row>
    <row r="53" spans="1:4" x14ac:dyDescent="0.25">
      <c r="A53">
        <v>50</v>
      </c>
      <c r="B53" t="s">
        <v>3007</v>
      </c>
      <c r="D53" t="s">
        <v>3020</v>
      </c>
    </row>
    <row r="54" spans="1:4" x14ac:dyDescent="0.25">
      <c r="A54">
        <v>51</v>
      </c>
      <c r="B54" t="s">
        <v>1055</v>
      </c>
      <c r="D54" t="s">
        <v>3020</v>
      </c>
    </row>
    <row r="55" spans="1:4" x14ac:dyDescent="0.25">
      <c r="A55">
        <v>52</v>
      </c>
      <c r="B55" t="s">
        <v>1752</v>
      </c>
      <c r="D55" t="s">
        <v>3020</v>
      </c>
    </row>
    <row r="56" spans="1:4" x14ac:dyDescent="0.25">
      <c r="A56">
        <v>53</v>
      </c>
      <c r="B56" t="s">
        <v>2885</v>
      </c>
      <c r="D56" t="s">
        <v>3020</v>
      </c>
    </row>
    <row r="57" spans="1:4" x14ac:dyDescent="0.25">
      <c r="A57">
        <v>54</v>
      </c>
      <c r="B57" t="s">
        <v>74</v>
      </c>
      <c r="D57" t="s">
        <v>3020</v>
      </c>
    </row>
    <row r="58" spans="1:4" x14ac:dyDescent="0.25">
      <c r="A58">
        <v>55</v>
      </c>
      <c r="B58" t="s">
        <v>1096</v>
      </c>
      <c r="D58" t="s">
        <v>3020</v>
      </c>
    </row>
    <row r="59" spans="1:4" x14ac:dyDescent="0.25">
      <c r="A59">
        <v>56</v>
      </c>
      <c r="B59" t="s">
        <v>2048</v>
      </c>
      <c r="D59" t="s">
        <v>3020</v>
      </c>
    </row>
    <row r="60" spans="1:4" x14ac:dyDescent="0.25">
      <c r="A60">
        <v>57</v>
      </c>
      <c r="B60" t="s">
        <v>3008</v>
      </c>
      <c r="D60" t="s">
        <v>3020</v>
      </c>
    </row>
    <row r="61" spans="1:4" x14ac:dyDescent="0.25">
      <c r="A61">
        <v>58</v>
      </c>
      <c r="B61" t="s">
        <v>1873</v>
      </c>
      <c r="D61" t="s">
        <v>3020</v>
      </c>
    </row>
    <row r="62" spans="1:4" x14ac:dyDescent="0.25">
      <c r="A62">
        <v>59</v>
      </c>
      <c r="B62" t="s">
        <v>2082</v>
      </c>
      <c r="D62" t="s">
        <v>3020</v>
      </c>
    </row>
    <row r="63" spans="1:4" x14ac:dyDescent="0.25">
      <c r="A63">
        <v>60</v>
      </c>
      <c r="B63" t="s">
        <v>2014</v>
      </c>
      <c r="D63" t="s">
        <v>3020</v>
      </c>
    </row>
    <row r="64" spans="1:4" x14ac:dyDescent="0.25">
      <c r="A64">
        <v>61</v>
      </c>
      <c r="B64" t="s">
        <v>3009</v>
      </c>
      <c r="D64" t="s">
        <v>3020</v>
      </c>
    </row>
    <row r="65" spans="1:4" x14ac:dyDescent="0.25">
      <c r="A65">
        <v>62</v>
      </c>
      <c r="B65" t="s">
        <v>3010</v>
      </c>
      <c r="D65" t="s">
        <v>3020</v>
      </c>
    </row>
    <row r="66" spans="1:4" x14ac:dyDescent="0.25">
      <c r="A66">
        <v>63</v>
      </c>
      <c r="B66" t="s">
        <v>3011</v>
      </c>
      <c r="D66" t="s">
        <v>3020</v>
      </c>
    </row>
    <row r="67" spans="1:4" x14ac:dyDescent="0.25">
      <c r="A67">
        <v>64</v>
      </c>
      <c r="B67" t="s">
        <v>3012</v>
      </c>
      <c r="D67" t="s">
        <v>3020</v>
      </c>
    </row>
    <row r="68" spans="1:4" x14ac:dyDescent="0.25">
      <c r="A68">
        <v>65</v>
      </c>
      <c r="B68" t="s">
        <v>2697</v>
      </c>
      <c r="D68" t="s">
        <v>3020</v>
      </c>
    </row>
    <row r="69" spans="1:4" x14ac:dyDescent="0.25">
      <c r="A69">
        <v>66</v>
      </c>
      <c r="B69" t="s">
        <v>2549</v>
      </c>
      <c r="D69" t="s">
        <v>3020</v>
      </c>
    </row>
    <row r="70" spans="1:4" x14ac:dyDescent="0.25">
      <c r="A70">
        <v>67</v>
      </c>
      <c r="B70" t="s">
        <v>3013</v>
      </c>
      <c r="D70" t="s">
        <v>3020</v>
      </c>
    </row>
    <row r="71" spans="1:4" x14ac:dyDescent="0.25">
      <c r="A71">
        <v>68</v>
      </c>
      <c r="B71" t="s">
        <v>3014</v>
      </c>
      <c r="D71" t="s">
        <v>3020</v>
      </c>
    </row>
    <row r="72" spans="1:4" x14ac:dyDescent="0.25">
      <c r="A72">
        <v>69</v>
      </c>
      <c r="B72" t="s">
        <v>2450</v>
      </c>
      <c r="D72" t="s">
        <v>3020</v>
      </c>
    </row>
    <row r="73" spans="1:4" x14ac:dyDescent="0.25">
      <c r="A73">
        <v>70</v>
      </c>
      <c r="B73" t="s">
        <v>2890</v>
      </c>
      <c r="D73" t="s">
        <v>3020</v>
      </c>
    </row>
    <row r="74" spans="1:4" x14ac:dyDescent="0.25">
      <c r="A74">
        <v>71</v>
      </c>
      <c r="B74" t="s">
        <v>2659</v>
      </c>
      <c r="D74" t="s">
        <v>3020</v>
      </c>
    </row>
    <row r="75" spans="1:4" x14ac:dyDescent="0.25">
      <c r="A75">
        <v>72</v>
      </c>
      <c r="B75" t="s">
        <v>2315</v>
      </c>
      <c r="D75" t="s">
        <v>3020</v>
      </c>
    </row>
    <row r="76" spans="1:4" x14ac:dyDescent="0.25">
      <c r="A76">
        <v>73</v>
      </c>
      <c r="B76" t="s">
        <v>2294</v>
      </c>
      <c r="D76" t="s">
        <v>3020</v>
      </c>
    </row>
    <row r="77" spans="1:4" x14ac:dyDescent="0.25">
      <c r="A77">
        <v>74</v>
      </c>
      <c r="B77" t="s">
        <v>2892</v>
      </c>
      <c r="D77" t="s">
        <v>3020</v>
      </c>
    </row>
    <row r="78" spans="1:4" x14ac:dyDescent="0.25">
      <c r="A78">
        <v>75</v>
      </c>
      <c r="B78" t="s">
        <v>108</v>
      </c>
      <c r="D78" t="s">
        <v>3020</v>
      </c>
    </row>
    <row r="79" spans="1:4" x14ac:dyDescent="0.25">
      <c r="A79">
        <v>76</v>
      </c>
      <c r="B79" t="s">
        <v>935</v>
      </c>
      <c r="D79" t="s">
        <v>3020</v>
      </c>
    </row>
    <row r="80" spans="1:4" x14ac:dyDescent="0.25">
      <c r="A80">
        <v>77</v>
      </c>
      <c r="B80" t="s">
        <v>796</v>
      </c>
      <c r="D80" t="s">
        <v>3020</v>
      </c>
    </row>
    <row r="81" spans="1:4" x14ac:dyDescent="0.25">
      <c r="A81">
        <v>78</v>
      </c>
      <c r="B81" t="s">
        <v>418</v>
      </c>
      <c r="D81" t="s">
        <v>3020</v>
      </c>
    </row>
    <row r="82" spans="1:4" x14ac:dyDescent="0.25">
      <c r="A82">
        <v>79</v>
      </c>
      <c r="B82" t="s">
        <v>3015</v>
      </c>
      <c r="D82" t="s">
        <v>3020</v>
      </c>
    </row>
    <row r="83" spans="1:4" x14ac:dyDescent="0.25">
      <c r="A83">
        <v>80</v>
      </c>
      <c r="B83" t="s">
        <v>3016</v>
      </c>
      <c r="D83" t="s">
        <v>3020</v>
      </c>
    </row>
    <row r="84" spans="1:4" x14ac:dyDescent="0.25">
      <c r="A84">
        <v>81</v>
      </c>
      <c r="B84" t="s">
        <v>3017</v>
      </c>
      <c r="D84" t="s">
        <v>3020</v>
      </c>
    </row>
    <row r="85" spans="1:4" x14ac:dyDescent="0.25">
      <c r="A85">
        <v>82</v>
      </c>
      <c r="B85" t="s">
        <v>3018</v>
      </c>
      <c r="D85" t="s">
        <v>3020</v>
      </c>
    </row>
    <row r="86" spans="1:4" x14ac:dyDescent="0.25">
      <c r="A86">
        <v>83</v>
      </c>
      <c r="B86" t="s">
        <v>2475</v>
      </c>
      <c r="D86" t="s">
        <v>3020</v>
      </c>
    </row>
    <row r="87" spans="1:4" x14ac:dyDescent="0.25">
      <c r="A87">
        <v>84</v>
      </c>
      <c r="B87" t="s">
        <v>3019</v>
      </c>
      <c r="D87" t="s">
        <v>3020</v>
      </c>
    </row>
    <row r="88" spans="1:4" x14ac:dyDescent="0.25">
      <c r="A88">
        <v>85</v>
      </c>
      <c r="B88" t="s">
        <v>2567</v>
      </c>
      <c r="D88" t="s">
        <v>3020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6B5A-C50E-420D-A52F-5EAEF745FEB3}">
  <dimension ref="A1:AE200"/>
  <sheetViews>
    <sheetView workbookViewId="0">
      <pane ySplit="1" topLeftCell="A2" activePane="bottomLeft" state="frozen"/>
      <selection pane="bottomLeft" activeCell="Y4" sqref="Y4"/>
    </sheetView>
  </sheetViews>
  <sheetFormatPr defaultRowHeight="15" outlineLevelCol="1" x14ac:dyDescent="0.25"/>
  <cols>
    <col min="1" max="2" width="9.140625" customWidth="1"/>
    <col min="3" max="3" width="12.5703125" customWidth="1"/>
    <col min="4" max="4" width="27.85546875" customWidth="1"/>
    <col min="5" max="11" width="9.140625" customWidth="1"/>
    <col min="12" max="20" width="9.140625" hidden="1" customWidth="1" outlineLevel="1"/>
    <col min="21" max="21" width="9.140625" customWidth="1" collapsed="1"/>
    <col min="22" max="22" width="9.140625" customWidth="1"/>
    <col min="23" max="23" width="1.7109375" hidden="1" customWidth="1"/>
    <col min="24" max="24" width="9.140625" customWidth="1"/>
    <col min="25" max="25" width="26" customWidth="1"/>
    <col min="26" max="31" width="9.140625" customWidth="1"/>
  </cols>
  <sheetData>
    <row r="1" spans="1:31" ht="15.75" x14ac:dyDescent="0.25">
      <c r="A1" s="96" t="s">
        <v>1</v>
      </c>
      <c r="B1" s="96" t="s">
        <v>2847</v>
      </c>
      <c r="C1" s="96" t="s">
        <v>2848</v>
      </c>
      <c r="D1" s="96" t="s">
        <v>4</v>
      </c>
      <c r="E1" s="96" t="s">
        <v>2849</v>
      </c>
      <c r="F1" s="96" t="s">
        <v>19</v>
      </c>
      <c r="G1" s="96" t="s">
        <v>2850</v>
      </c>
      <c r="H1" s="96" t="s">
        <v>2851</v>
      </c>
      <c r="I1" s="96" t="s">
        <v>2852</v>
      </c>
      <c r="J1" s="96" t="s">
        <v>2853</v>
      </c>
      <c r="L1" s="129" t="s">
        <v>2854</v>
      </c>
      <c r="M1" s="100">
        <v>2026</v>
      </c>
      <c r="U1" s="162" t="s">
        <v>2855</v>
      </c>
      <c r="V1" s="161"/>
      <c r="X1" s="159" t="s">
        <v>2856</v>
      </c>
      <c r="Y1" s="107"/>
      <c r="Z1" s="107"/>
      <c r="AA1" s="107"/>
      <c r="AC1" s="253" t="s">
        <v>2857</v>
      </c>
    </row>
    <row r="2" spans="1:31" x14ac:dyDescent="0.25">
      <c r="A2" s="98" cm="1">
        <f t="array" ref="A2:J113">_xlfn.LET(_xlpm.totalRows,MAX(S4:S200),_xlpm.seq,_xlfn.SEQUENCE(_xlpm.totalRows),_xlpm.srcRow,_xlfn.MAP(_xlpm.seq,_xlfn.LAMBDA(_xlpm.s,MATCH(_xlpm.s-1,T4:T200,1))),_xlpm.instrIdx,_xlfn.MAP(_xlpm.seq,_xlpm.srcRow,_xlfn.LAMBDA(_xlpm.s,_xlpm.sr,_xlpm.s-INDEX(T4:T200,_xlpm.sr))),_xlpm.ano,_xlfn.MAP(_xlpm.srcRow,_xlfn.LAMBDA(_xlpm.sr,INDEX(L4:L200,_xlpm.sr))),_xlpm.id,_xlfn.MAP(_xlpm.srcRow,_xlfn.LAMBDA(_xlpm.sr,INDEX(M4:M200,_xlpm.sr))),_xlpm.status,_xlfn.MAP(_xlpm.srcRow,_xlfn.LAMBDA(_xlpm.sr,INDEX(N4:N200,_xlpm.sr))),_xlpm.curso,_xlfn.MAP(_xlpm.srcRow,_xlfn.LAMBDA(_xlpm.sr,INDEX(O4:O200,_xlpm.sr))),_xlpm.ch,_xlfn.MAP(_xlpm.srcRow,_xlfn.LAMBDA(_xlpm.sr,INDEX(P4:P200,_xlpm.sr)+0)),_xlpm.instrStr,_xlfn.MAP(_xlpm.srcRow,_xlfn.LAMBDA(_xlpm.sr,INDEX(Q4:Q200,_xlpm.sr))),_xlpm.nInstr,_xlfn.MAP(_xlpm.srcRow,_xlfn.LAMBDA(_xlpm.sr,INDEX(R4:R200,_xlpm.sr)+0)),_xlpm.instrName,_xlfn.MAP(_xlpm.instrStr,_xlpm.instrIdx,_xlfn.LAMBDA(_xlpm.s,_xlpm.idx,TRIM(INDEX(_xlfn.TEXTSPLIT(_xlpm.s,"; "),,_xlpm.idx)))),_xlpm.ovKey,X3:X200&amp;"|"&amp;Y3:Y200,_xlpm.lookupKey,_xlpm.id&amp;"|"&amp;_xlpm.instrName,_xlpm.ovAula,_xlfn.MAP(_xlpm.lookupKey,_xlfn.LAMBDA(_xlpm.k,IFERROR(_xlfn.XLOOKUP(_xlpm.k,_xlpm.ovKey,Z3:Z200),""))),_xlpm.ovMat,_xlfn.MAP(_xlpm.lookupKey,_xlfn.LAMBDA(_xlpm.k,IFERROR(_xlfn.XLOOKUP(_xlpm.k,_xlpm.ovKey,AA3:AA200),""))),_xlpm.geccAula,_xlfn.MAP(_xlpm.ovAula,_xlpm.ch,_xlfn.LAMBDA(_xlpm.ov,_xlpm.c,IF(_xlpm.ov&lt;&gt;"",_xlpm.ov+0,_xlpm.c))),_xlpm.geccMat,_xlfn.MAP(_xlpm.ovMat,_xlpm.ch,_xlpm.nInstr,_xlfn.LAMBDA(_xlpm.ov,_xlpm.c,_xlpm.n,IF(_xlpm.ov&lt;&gt;"",_xlpm.ov+0,_xlpm.c*0.3/_xlpm.n))),_xlpm.geccTotal,_xlpm.geccAula+_xlpm.geccMat,_xlfn.HSTACK(_xlpm.ano,_xlpm.id,_xlpm.status,_xlpm.curso,_xlpm.ch,_xlpm.instrName,_xlpm.nInstr,_xlpm.geccAula,_xlpm.geccMat,_xlpm.geccTotal))</f>
        <v>2026</v>
      </c>
      <c r="B2" s="98" t="str">
        <v>2026-001</v>
      </c>
      <c r="C2" s="98" t="str">
        <v>Realizado</v>
      </c>
      <c r="D2" s="95" t="str">
        <v>Contratação de TIC</v>
      </c>
      <c r="E2" s="97">
        <v>8</v>
      </c>
      <c r="F2" s="95" t="str">
        <v>Flávio José Fonseca de Souza</v>
      </c>
      <c r="G2" s="97">
        <v>1</v>
      </c>
      <c r="H2" s="99">
        <v>8</v>
      </c>
      <c r="I2" s="99">
        <v>2.4</v>
      </c>
      <c r="J2" s="99">
        <v>10.4</v>
      </c>
      <c r="X2" s="160" t="s">
        <v>2847</v>
      </c>
      <c r="Y2" s="160" t="s">
        <v>19</v>
      </c>
      <c r="Z2" s="160" t="s">
        <v>2858</v>
      </c>
      <c r="AA2" s="160" t="s">
        <v>2859</v>
      </c>
      <c r="AC2" s="254" t="s">
        <v>1</v>
      </c>
      <c r="AD2" s="254" t="s">
        <v>2860</v>
      </c>
      <c r="AE2" s="254" t="s">
        <v>2861</v>
      </c>
    </row>
    <row r="3" spans="1:31" x14ac:dyDescent="0.25">
      <c r="A3" s="98">
        <v>2026</v>
      </c>
      <c r="B3" s="98" t="str">
        <v>2026-002</v>
      </c>
      <c r="C3" s="98" t="str">
        <v>Realizado</v>
      </c>
      <c r="D3" s="95" t="str">
        <v>Tcendo o Futuro - Edição Especial Filhos</v>
      </c>
      <c r="E3" s="97">
        <v>4</v>
      </c>
      <c r="F3" s="95" t="str">
        <v>Cinthia Thais de Carvalho Luz Thomazi</v>
      </c>
      <c r="G3" s="97">
        <v>5</v>
      </c>
      <c r="H3" s="99">
        <v>4</v>
      </c>
      <c r="I3" s="99">
        <v>1.2</v>
      </c>
      <c r="J3" s="99">
        <v>5.2</v>
      </c>
      <c r="L3" s="19" t="s">
        <v>2862</v>
      </c>
      <c r="M3" s="19" t="s">
        <v>2863</v>
      </c>
      <c r="N3" s="19" t="s">
        <v>2864</v>
      </c>
      <c r="O3" s="19" t="s">
        <v>2865</v>
      </c>
      <c r="P3" s="19" t="s">
        <v>2866</v>
      </c>
      <c r="Q3" s="19" t="s">
        <v>2867</v>
      </c>
      <c r="R3" s="19" t="s">
        <v>2868</v>
      </c>
      <c r="S3" s="19" t="s">
        <v>2869</v>
      </c>
      <c r="T3" s="19" t="s">
        <v>2870</v>
      </c>
      <c r="X3" t="s">
        <v>2871</v>
      </c>
      <c r="Y3" t="s">
        <v>2697</v>
      </c>
      <c r="Z3">
        <v>0</v>
      </c>
      <c r="AA3">
        <v>0</v>
      </c>
      <c r="AC3" s="248">
        <v>2026</v>
      </c>
      <c r="AD3" s="95" t="s">
        <v>1785</v>
      </c>
      <c r="AE3" s="249">
        <v>16</v>
      </c>
    </row>
    <row r="4" spans="1:31" x14ac:dyDescent="0.25">
      <c r="A4" s="98">
        <v>2026</v>
      </c>
      <c r="B4" s="98" t="str">
        <v>2026-002</v>
      </c>
      <c r="C4" s="98" t="str">
        <v>Realizado</v>
      </c>
      <c r="D4" s="95" t="str">
        <v>Tcendo o Futuro - Edição Especial Filhos</v>
      </c>
      <c r="E4" s="97">
        <v>4</v>
      </c>
      <c r="F4" s="95" t="str">
        <v>Adriana Cuoco Portugal</v>
      </c>
      <c r="G4" s="97">
        <v>5</v>
      </c>
      <c r="H4" s="99">
        <v>4</v>
      </c>
      <c r="I4" s="99">
        <v>1.2</v>
      </c>
      <c r="J4" s="99">
        <v>5.2</v>
      </c>
      <c r="L4" cm="1">
        <f t="array" ref="L4:Q47">_xlfn.LET(_xlpm.src,'Ações InCompany'!A2:T997,_xlpm.sAno,INDEX(_xlpm.src,,2),_xlpm.sMod,INDEX(_xlpm.src,,11),_xlfn._xlws.FILTER(_xlfn.HSTACK(INDEX(_xlpm.src,,2),INDEX(_xlpm.src,,1),INDEX(_xlpm.src,,3),INDEX(_xlpm.src,,5),INDEX(_xlpm.src,,19),INDEX(_xlpm.src,,20)),(_xlpm.sAno=M1)*(_xlpm.sMod="Instrutoria Interna"),""))</f>
        <v>2026</v>
      </c>
      <c r="M4" t="str">
        <v>2026-001</v>
      </c>
      <c r="N4" t="str">
        <v>Realizado</v>
      </c>
      <c r="O4" t="str">
        <v>Contratação de TIC</v>
      </c>
      <c r="P4">
        <v>8</v>
      </c>
      <c r="Q4" t="str">
        <v>Flávio José Fonseca de Souza</v>
      </c>
      <c r="R4" cm="1">
        <f t="array" ref="R4:R200">IF(L4:L200="","",IF(ISERROR(FIND("; ",Q4:Q200)),1,(LEN(Q4:Q200)-LEN(SUBSTITUTE(Q4:Q200,"; ","")))/2+1))</f>
        <v>1</v>
      </c>
      <c r="S4" cm="1">
        <f t="array" ref="S4:S200">IF(R4:R200="","",_xlfn.SCAN(0,R4:R200,_xlfn.LAMBDA(_xlpm.a,_xlpm.b,IF(_xlpm.b="","",_xlpm.a+_xlpm.b))))</f>
        <v>1</v>
      </c>
      <c r="T4" cm="1">
        <f t="array" ref="T4:T48">_xlfn.VSTACK(0,_xlfn._xlws.FILTER(S4:S200,S4:S200&lt;&gt;""))</f>
        <v>0</v>
      </c>
      <c r="X4" t="s">
        <v>2872</v>
      </c>
      <c r="Y4" t="s">
        <v>2697</v>
      </c>
      <c r="Z4">
        <v>0</v>
      </c>
      <c r="AA4">
        <v>0</v>
      </c>
      <c r="AC4" s="248">
        <v>2026</v>
      </c>
      <c r="AD4" s="95" t="s">
        <v>247</v>
      </c>
      <c r="AE4" s="249">
        <v>16</v>
      </c>
    </row>
    <row r="5" spans="1:31" x14ac:dyDescent="0.25">
      <c r="A5" s="98">
        <v>2026</v>
      </c>
      <c r="B5" s="98" t="str">
        <v>2026-002</v>
      </c>
      <c r="C5" s="98" t="str">
        <v>Realizado</v>
      </c>
      <c r="D5" s="95" t="str">
        <v>Tcendo o Futuro - Edição Especial Filhos</v>
      </c>
      <c r="E5" s="97">
        <v>4</v>
      </c>
      <c r="F5" s="95" t="str">
        <v>Fernanda Viana de Souza</v>
      </c>
      <c r="G5" s="97">
        <v>5</v>
      </c>
      <c r="H5" s="99">
        <v>4</v>
      </c>
      <c r="I5" s="99">
        <v>1.2</v>
      </c>
      <c r="J5" s="99">
        <v>5.2</v>
      </c>
      <c r="L5">
        <v>2026</v>
      </c>
      <c r="M5" t="str">
        <v>2026-002</v>
      </c>
      <c r="N5" t="str">
        <v>Realizado</v>
      </c>
      <c r="O5" t="str">
        <v>Tcendo o Futuro - Edição Especial Filhos</v>
      </c>
      <c r="P5">
        <v>4</v>
      </c>
      <c r="Q5" t="str">
        <v>Cinthia Thais de Carvalho Luz Thomazi; Adriana Cuoco Portugal; Fernanda Viana de Souza; Denise Duarte Guirra Kuhlmann; Priscila Nolasco de Oliveira</v>
      </c>
      <c r="R5">
        <v>5</v>
      </c>
      <c r="S5">
        <v>6</v>
      </c>
      <c r="T5">
        <v>1</v>
      </c>
      <c r="X5" t="s">
        <v>2873</v>
      </c>
      <c r="Y5" t="s">
        <v>2713</v>
      </c>
      <c r="Z5">
        <v>1</v>
      </c>
      <c r="AA5">
        <v>0.6</v>
      </c>
      <c r="AC5" s="248">
        <v>2026</v>
      </c>
      <c r="AD5" s="95" t="s">
        <v>2874</v>
      </c>
      <c r="AE5" s="249">
        <v>16</v>
      </c>
    </row>
    <row r="6" spans="1:31" x14ac:dyDescent="0.25">
      <c r="A6" s="98">
        <v>2026</v>
      </c>
      <c r="B6" s="98" t="str">
        <v>2026-002</v>
      </c>
      <c r="C6" s="98" t="str">
        <v>Realizado</v>
      </c>
      <c r="D6" s="95" t="str">
        <v>Tcendo o Futuro - Edição Especial Filhos</v>
      </c>
      <c r="E6" s="97">
        <v>4</v>
      </c>
      <c r="F6" s="95" t="str">
        <v>Denise Duarte Guirra Kuhlmann</v>
      </c>
      <c r="G6" s="97">
        <v>5</v>
      </c>
      <c r="H6" s="99">
        <v>4</v>
      </c>
      <c r="I6" s="99">
        <v>1.2</v>
      </c>
      <c r="J6" s="99">
        <v>5.2</v>
      </c>
      <c r="L6">
        <v>2026</v>
      </c>
      <c r="M6" t="str">
        <v>2026-004</v>
      </c>
      <c r="N6" t="str">
        <v>Realizado</v>
      </c>
      <c r="O6" t="str">
        <v>Gestão e Fiscalização de Contratos de Equipamentos Médico Hospitalares e Serviços de Manutenção</v>
      </c>
      <c r="P6">
        <v>12</v>
      </c>
      <c r="Q6" t="str">
        <v>Tarsila Firmino Ely; Luciana Alvim</v>
      </c>
      <c r="R6">
        <v>2</v>
      </c>
      <c r="S6">
        <v>8</v>
      </c>
      <c r="T6">
        <v>6</v>
      </c>
      <c r="X6" t="s">
        <v>2873</v>
      </c>
      <c r="Y6" t="s">
        <v>2875</v>
      </c>
      <c r="Z6">
        <v>1</v>
      </c>
      <c r="AA6">
        <v>0</v>
      </c>
      <c r="AC6" s="248">
        <v>2026</v>
      </c>
      <c r="AD6" s="95" t="s">
        <v>2876</v>
      </c>
      <c r="AE6" s="249">
        <v>16</v>
      </c>
    </row>
    <row r="7" spans="1:31" x14ac:dyDescent="0.25">
      <c r="A7" s="98">
        <v>2026</v>
      </c>
      <c r="B7" s="98" t="str">
        <v>2026-002</v>
      </c>
      <c r="C7" s="98" t="str">
        <v>Realizado</v>
      </c>
      <c r="D7" s="95" t="str">
        <v>Tcendo o Futuro - Edição Especial Filhos</v>
      </c>
      <c r="E7" s="97">
        <v>4</v>
      </c>
      <c r="F7" s="95" t="str">
        <v>Priscila Nolasco de Oliveira</v>
      </c>
      <c r="G7" s="97">
        <v>5</v>
      </c>
      <c r="H7" s="99">
        <v>4</v>
      </c>
      <c r="I7" s="99">
        <v>0.24</v>
      </c>
      <c r="J7" s="99">
        <v>4.24</v>
      </c>
      <c r="L7">
        <v>2026</v>
      </c>
      <c r="M7" t="str">
        <v>2026-005</v>
      </c>
      <c r="N7" t="str">
        <v>Realizado</v>
      </c>
      <c r="O7" t="str">
        <v>FIT1: Treinamento e Desenvolvimento (T&amp;D)</v>
      </c>
      <c r="P7">
        <v>16</v>
      </c>
      <c r="Q7" t="str">
        <v>Paulo José Góes Daltro</v>
      </c>
      <c r="R7">
        <v>1</v>
      </c>
      <c r="S7">
        <v>9</v>
      </c>
      <c r="T7">
        <v>8</v>
      </c>
      <c r="X7" s="98" t="s">
        <v>2877</v>
      </c>
      <c r="Y7" t="s">
        <v>2697</v>
      </c>
      <c r="Z7">
        <v>0</v>
      </c>
      <c r="AA7">
        <v>0</v>
      </c>
      <c r="AC7" s="248">
        <v>2026</v>
      </c>
      <c r="AD7" s="95" t="s">
        <v>108</v>
      </c>
      <c r="AE7" s="249">
        <v>16</v>
      </c>
    </row>
    <row r="8" spans="1:31" x14ac:dyDescent="0.25">
      <c r="A8" s="98">
        <v>2026</v>
      </c>
      <c r="B8" s="98" t="str">
        <v>2026-004</v>
      </c>
      <c r="C8" s="98" t="str">
        <v>Realizado</v>
      </c>
      <c r="D8" s="95" t="str">
        <v>Gestão e Fiscalização de Contratos de Equipamentos Médico Hospitalares e Serviços de Manutenção</v>
      </c>
      <c r="E8" s="97">
        <v>12</v>
      </c>
      <c r="F8" s="95" t="str">
        <v>Tarsila Firmino Ely</v>
      </c>
      <c r="G8" s="97">
        <v>2</v>
      </c>
      <c r="H8" s="99">
        <v>12</v>
      </c>
      <c r="I8" s="99">
        <v>1.7999999999999998</v>
      </c>
      <c r="J8" s="99">
        <v>13.8</v>
      </c>
      <c r="L8">
        <v>2026</v>
      </c>
      <c r="M8" t="str">
        <v>2026-006</v>
      </c>
      <c r="N8" t="str">
        <v>Realizado</v>
      </c>
      <c r="O8" t="str">
        <v>Curso para gestores e fiscais de contratos de serviços assistenciais complementares – SES/DF</v>
      </c>
      <c r="P8">
        <v>12</v>
      </c>
      <c r="Q8" t="str">
        <v>Adriana Magalhães; Luciana Alvim</v>
      </c>
      <c r="R8">
        <v>2</v>
      </c>
      <c r="S8">
        <v>11</v>
      </c>
      <c r="T8">
        <v>9</v>
      </c>
      <c r="X8" t="s">
        <v>2878</v>
      </c>
      <c r="Y8" s="95" t="s">
        <v>1343</v>
      </c>
      <c r="AA8">
        <v>1.2</v>
      </c>
      <c r="AC8" s="248">
        <v>2026</v>
      </c>
      <c r="AD8" s="95"/>
      <c r="AE8" s="249"/>
    </row>
    <row r="9" spans="1:31" x14ac:dyDescent="0.25">
      <c r="A9" s="98">
        <v>2026</v>
      </c>
      <c r="B9" s="98" t="str">
        <v>2026-004</v>
      </c>
      <c r="C9" s="98" t="str">
        <v>Realizado</v>
      </c>
      <c r="D9" s="95" t="str">
        <v>Gestão e Fiscalização de Contratos de Equipamentos Médico Hospitalares e Serviços de Manutenção</v>
      </c>
      <c r="E9" s="97">
        <v>12</v>
      </c>
      <c r="F9" s="95" t="str">
        <v>Luciana Alvim</v>
      </c>
      <c r="G9" s="97">
        <v>2</v>
      </c>
      <c r="H9" s="99">
        <v>12</v>
      </c>
      <c r="I9" s="99">
        <v>1.7999999999999998</v>
      </c>
      <c r="J9" s="99">
        <v>13.8</v>
      </c>
      <c r="L9">
        <v>2026</v>
      </c>
      <c r="M9" t="str">
        <v>2026-007</v>
      </c>
      <c r="N9" t="str">
        <v>Realizado</v>
      </c>
      <c r="O9" t="str">
        <v>Planilhas de Terceirização de Mão de Obra, de acordo com a Lei nº 14.133/2021 - T1</v>
      </c>
      <c r="P9">
        <v>20</v>
      </c>
      <c r="Q9" t="str">
        <v>Leonardo José Alves Leal Neri</v>
      </c>
      <c r="R9">
        <v>1</v>
      </c>
      <c r="S9">
        <v>12</v>
      </c>
      <c r="T9">
        <v>11</v>
      </c>
      <c r="X9" t="s">
        <v>2878</v>
      </c>
      <c r="Y9" s="95" t="s">
        <v>1023</v>
      </c>
      <c r="AA9">
        <v>1.2</v>
      </c>
      <c r="AC9" s="248">
        <v>2026</v>
      </c>
      <c r="AD9" s="95"/>
      <c r="AE9" s="249"/>
    </row>
    <row r="10" spans="1:31" x14ac:dyDescent="0.25">
      <c r="A10" s="98">
        <v>2026</v>
      </c>
      <c r="B10" s="98" t="str">
        <v>2026-005</v>
      </c>
      <c r="C10" s="98" t="str">
        <v>Realizado</v>
      </c>
      <c r="D10" s="95" t="str">
        <v>FIT1: Treinamento e Desenvolvimento (T&amp;D)</v>
      </c>
      <c r="E10" s="97">
        <v>16</v>
      </c>
      <c r="F10" s="95" t="str">
        <v>Paulo José Góes Daltro</v>
      </c>
      <c r="G10" s="97">
        <v>1</v>
      </c>
      <c r="H10" s="99">
        <v>0</v>
      </c>
      <c r="I10" s="99">
        <v>0</v>
      </c>
      <c r="J10" s="99">
        <v>0</v>
      </c>
      <c r="L10">
        <v>2026</v>
      </c>
      <c r="M10" t="str">
        <v>2026-008</v>
      </c>
      <c r="N10" t="str">
        <v>Realizado</v>
      </c>
      <c r="O10" t="str">
        <v>Curso de Promoção Funcional 2026/2027</v>
      </c>
      <c r="P10">
        <v>20</v>
      </c>
      <c r="Q10" t="str">
        <v>Rômulo Miranda Alvim; Cinthia Thais de Carvalho Luz Thomazi</v>
      </c>
      <c r="R10">
        <v>2</v>
      </c>
      <c r="S10">
        <v>14</v>
      </c>
      <c r="T10">
        <v>12</v>
      </c>
      <c r="X10" t="s">
        <v>2878</v>
      </c>
      <c r="Y10" s="95" t="s">
        <v>1367</v>
      </c>
      <c r="AA10">
        <v>1.2</v>
      </c>
      <c r="AC10" s="248">
        <v>2026</v>
      </c>
      <c r="AD10" s="95"/>
      <c r="AE10" s="249"/>
    </row>
    <row r="11" spans="1:31" x14ac:dyDescent="0.25">
      <c r="A11" s="98">
        <v>2026</v>
      </c>
      <c r="B11" s="98" t="str">
        <v>2026-006</v>
      </c>
      <c r="C11" s="98" t="str">
        <v>Realizado</v>
      </c>
      <c r="D11" s="95" t="str">
        <v>Curso para gestores e fiscais de contratos de serviços assistenciais complementares – SES/DF</v>
      </c>
      <c r="E11" s="97">
        <v>12</v>
      </c>
      <c r="F11" s="95" t="str">
        <v>Adriana Magalhães</v>
      </c>
      <c r="G11" s="97">
        <v>2</v>
      </c>
      <c r="H11" s="99">
        <v>12</v>
      </c>
      <c r="I11" s="99">
        <v>1.7999999999999998</v>
      </c>
      <c r="J11" s="99">
        <v>13.8</v>
      </c>
      <c r="L11">
        <v>2026</v>
      </c>
      <c r="M11" t="str">
        <v>2026-009</v>
      </c>
      <c r="N11" t="str">
        <v>Realizado</v>
      </c>
      <c r="O11" t="str">
        <v>Introdução à Engenharia de Prompt - t1</v>
      </c>
      <c r="P11">
        <v>8</v>
      </c>
      <c r="Q11" t="str">
        <v>Arthur Wú</v>
      </c>
      <c r="R11">
        <v>1</v>
      </c>
      <c r="S11">
        <v>15</v>
      </c>
      <c r="T11">
        <v>14</v>
      </c>
      <c r="X11" t="s">
        <v>2878</v>
      </c>
      <c r="Y11" s="95" t="s">
        <v>2879</v>
      </c>
      <c r="AA11">
        <v>1.2</v>
      </c>
      <c r="AC11" s="248">
        <v>2026</v>
      </c>
      <c r="AD11" s="95"/>
      <c r="AE11" s="249"/>
    </row>
    <row r="12" spans="1:31" x14ac:dyDescent="0.25">
      <c r="A12" s="98">
        <v>2026</v>
      </c>
      <c r="B12" s="98" t="str">
        <v>2026-006</v>
      </c>
      <c r="C12" s="98" t="str">
        <v>Realizado</v>
      </c>
      <c r="D12" s="95" t="str">
        <v>Curso para gestores e fiscais de contratos de serviços assistenciais complementares – SES/DF</v>
      </c>
      <c r="E12" s="97">
        <v>12</v>
      </c>
      <c r="F12" s="95" t="str">
        <v>Luciana Alvim</v>
      </c>
      <c r="G12" s="97">
        <v>2</v>
      </c>
      <c r="H12" s="99">
        <v>12</v>
      </c>
      <c r="I12" s="99">
        <v>1.7999999999999998</v>
      </c>
      <c r="J12" s="99">
        <v>13.8</v>
      </c>
      <c r="L12">
        <v>2026</v>
      </c>
      <c r="M12" t="str">
        <v>2026-010</v>
      </c>
      <c r="N12" t="str">
        <v>Realizado</v>
      </c>
      <c r="O12" t="str">
        <v>Planilhas de Terceirização de Mão de Obra, de acordo com a Lei nº 14.133/2021 - T2</v>
      </c>
      <c r="P12">
        <v>20</v>
      </c>
      <c r="Q12" t="str">
        <v>Leonardo José Alves Leal Neri</v>
      </c>
      <c r="R12">
        <v>1</v>
      </c>
      <c r="S12">
        <v>16</v>
      </c>
      <c r="T12">
        <v>15</v>
      </c>
      <c r="X12" t="s">
        <v>2878</v>
      </c>
      <c r="Y12" s="95" t="s">
        <v>2880</v>
      </c>
      <c r="AA12">
        <v>1.2</v>
      </c>
      <c r="AC12" s="248">
        <v>2026</v>
      </c>
      <c r="AD12" s="95"/>
      <c r="AE12" s="249"/>
    </row>
    <row r="13" spans="1:31" x14ac:dyDescent="0.25">
      <c r="A13" s="98">
        <v>2026</v>
      </c>
      <c r="B13" s="98" t="str">
        <v>2026-007</v>
      </c>
      <c r="C13" s="98" t="str">
        <v>Realizado</v>
      </c>
      <c r="D13" s="95" t="str">
        <v>Planilhas de Terceirização de Mão de Obra, de acordo com a Lei nº 14.133/2021 - T1</v>
      </c>
      <c r="E13" s="97">
        <v>20</v>
      </c>
      <c r="F13" s="95" t="str">
        <v>Leonardo José Alves Leal Neri</v>
      </c>
      <c r="G13" s="97">
        <v>1</v>
      </c>
      <c r="H13" s="99">
        <v>20</v>
      </c>
      <c r="I13" s="99">
        <v>6</v>
      </c>
      <c r="J13" s="99">
        <v>26</v>
      </c>
      <c r="L13">
        <v>2026</v>
      </c>
      <c r="M13" t="str">
        <v>2026-013</v>
      </c>
      <c r="N13" t="str">
        <v>Realizado</v>
      </c>
      <c r="O13" t="str">
        <v>Curso para gestores e fiscais de contratos de serviços assistenciais complementares – SES/DF - T2</v>
      </c>
      <c r="P13">
        <v>12</v>
      </c>
      <c r="Q13" t="str">
        <v>Adriana Magalhães; Luciana Alvim</v>
      </c>
      <c r="R13">
        <v>2</v>
      </c>
      <c r="S13">
        <v>18</v>
      </c>
      <c r="T13">
        <v>16</v>
      </c>
      <c r="X13" t="s">
        <v>2881</v>
      </c>
      <c r="Y13" s="95" t="s">
        <v>1343</v>
      </c>
      <c r="AA13">
        <v>1.2</v>
      </c>
      <c r="AC13" s="248">
        <v>2026</v>
      </c>
      <c r="AD13" s="95"/>
      <c r="AE13" s="249"/>
    </row>
    <row r="14" spans="1:31" x14ac:dyDescent="0.25">
      <c r="A14" s="98">
        <v>2026</v>
      </c>
      <c r="B14" s="98" t="str">
        <v>2026-008</v>
      </c>
      <c r="C14" s="98" t="str">
        <v>Realizado</v>
      </c>
      <c r="D14" s="95" t="str">
        <v>Curso de Promoção Funcional 2026/2027</v>
      </c>
      <c r="E14" s="97">
        <v>20</v>
      </c>
      <c r="F14" s="95" t="str">
        <v>Rômulo Miranda Alvim</v>
      </c>
      <c r="G14" s="97">
        <v>2</v>
      </c>
      <c r="H14" s="99">
        <v>20</v>
      </c>
      <c r="I14" s="99">
        <v>3</v>
      </c>
      <c r="J14" s="99">
        <v>23</v>
      </c>
      <c r="L14">
        <v>2026</v>
      </c>
      <c r="M14" t="str">
        <v>2026-015</v>
      </c>
      <c r="N14" t="str">
        <v>Realizado</v>
      </c>
      <c r="O14" t="str">
        <v>Introdução à Engenharia de Prompt - t2</v>
      </c>
      <c r="P14">
        <v>8</v>
      </c>
      <c r="Q14" t="str">
        <v>Arthur Wú; Gustavo Takahashi</v>
      </c>
      <c r="R14">
        <v>2</v>
      </c>
      <c r="S14">
        <v>20</v>
      </c>
      <c r="T14">
        <v>18</v>
      </c>
      <c r="X14" t="s">
        <v>2881</v>
      </c>
      <c r="Y14" s="95" t="s">
        <v>1023</v>
      </c>
      <c r="AA14">
        <v>1.2</v>
      </c>
      <c r="AC14" s="248">
        <v>2026</v>
      </c>
      <c r="AD14" s="95"/>
      <c r="AE14" s="249"/>
    </row>
    <row r="15" spans="1:31" x14ac:dyDescent="0.25">
      <c r="A15" s="98">
        <v>2026</v>
      </c>
      <c r="B15" s="98" t="str">
        <v>2026-008</v>
      </c>
      <c r="C15" s="98" t="str">
        <v>Realizado</v>
      </c>
      <c r="D15" s="95" t="str">
        <v>Curso de Promoção Funcional 2026/2027</v>
      </c>
      <c r="E15" s="97">
        <v>20</v>
      </c>
      <c r="F15" s="95" t="str">
        <v>Cinthia Thais de Carvalho Luz Thomazi</v>
      </c>
      <c r="G15" s="97">
        <v>2</v>
      </c>
      <c r="H15" s="99">
        <v>20</v>
      </c>
      <c r="I15" s="99">
        <v>3</v>
      </c>
      <c r="J15" s="99">
        <v>23</v>
      </c>
      <c r="L15">
        <v>2026</v>
      </c>
      <c r="M15" t="str">
        <v>2026-016</v>
      </c>
      <c r="N15" t="str">
        <v>Realizado</v>
      </c>
      <c r="O15" t="str">
        <v>Mentoria de introdução à Engenharia de Prompt</v>
      </c>
      <c r="P15">
        <v>2</v>
      </c>
      <c r="Q15" t="str">
        <v>Arthur Wú; Gustavo Takahashi</v>
      </c>
      <c r="R15">
        <v>2</v>
      </c>
      <c r="S15">
        <v>22</v>
      </c>
      <c r="T15">
        <v>20</v>
      </c>
      <c r="X15" t="s">
        <v>2881</v>
      </c>
      <c r="Y15" s="95" t="s">
        <v>1367</v>
      </c>
      <c r="AA15">
        <v>1.2</v>
      </c>
      <c r="AC15" s="248">
        <v>2026</v>
      </c>
      <c r="AD15" s="95"/>
      <c r="AE15" s="249"/>
    </row>
    <row r="16" spans="1:31" x14ac:dyDescent="0.25">
      <c r="A16" s="98">
        <v>2026</v>
      </c>
      <c r="B16" s="98" t="str">
        <v>2026-009</v>
      </c>
      <c r="C16" s="98" t="str">
        <v>Realizado</v>
      </c>
      <c r="D16" s="95" t="str">
        <v>Introdução à Engenharia de Prompt - t1</v>
      </c>
      <c r="E16" s="97">
        <v>8</v>
      </c>
      <c r="F16" s="95" t="str">
        <v>Arthur Wú</v>
      </c>
      <c r="G16" s="97">
        <v>1</v>
      </c>
      <c r="H16" s="99">
        <v>8</v>
      </c>
      <c r="I16" s="99">
        <v>2.4</v>
      </c>
      <c r="J16" s="99">
        <v>10.4</v>
      </c>
      <c r="L16">
        <v>2026</v>
      </c>
      <c r="M16" t="str">
        <v>2026-017</v>
      </c>
      <c r="N16" t="str">
        <v>Realizado</v>
      </c>
      <c r="O16" t="str">
        <v>Mostra Fotográfica “Meu Olhar sobre Brasília”</v>
      </c>
      <c r="P16">
        <v>0</v>
      </c>
      <c r="Q16" t="str">
        <v>Servidores, colaboradores e estagiários do TCDF</v>
      </c>
      <c r="R16">
        <v>1</v>
      </c>
      <c r="S16">
        <v>23</v>
      </c>
      <c r="T16">
        <v>22</v>
      </c>
      <c r="X16" t="s">
        <v>2881</v>
      </c>
      <c r="Y16" s="95" t="s">
        <v>2879</v>
      </c>
      <c r="AA16">
        <v>1.2</v>
      </c>
      <c r="AC16" s="248">
        <v>2026</v>
      </c>
      <c r="AD16" s="95"/>
      <c r="AE16" s="249"/>
    </row>
    <row r="17" spans="1:31" x14ac:dyDescent="0.25">
      <c r="A17" s="98">
        <v>2026</v>
      </c>
      <c r="B17" s="98" t="str">
        <v>2026-010</v>
      </c>
      <c r="C17" s="98" t="str">
        <v>Realizado</v>
      </c>
      <c r="D17" s="95" t="str">
        <v>Planilhas de Terceirização de Mão de Obra, de acordo com a Lei nº 14.133/2021 - T2</v>
      </c>
      <c r="E17" s="97">
        <v>20</v>
      </c>
      <c r="F17" s="95" t="str">
        <v>Leonardo José Alves Leal Neri</v>
      </c>
      <c r="G17" s="97">
        <v>1</v>
      </c>
      <c r="H17" s="99">
        <v>20</v>
      </c>
      <c r="I17" s="99">
        <v>6</v>
      </c>
      <c r="J17" s="99">
        <v>26</v>
      </c>
      <c r="L17">
        <v>2026</v>
      </c>
      <c r="M17" t="str">
        <v>2026-018</v>
      </c>
      <c r="N17" t="str">
        <v>Realizado</v>
      </c>
      <c r="O17" t="str">
        <v>Tcendo o Futuro</v>
      </c>
      <c r="P17">
        <v>4</v>
      </c>
      <c r="Q17" t="str">
        <v>Cinthia Thais de Carvalho Luz Thomazi; Adriana Cuoco Portugal; Fernanda Viana de Souza; Denise Duarte Guirra Kuhlmann;  Priscila Nolasco de Oliveira</v>
      </c>
      <c r="R17">
        <v>5</v>
      </c>
      <c r="S17">
        <v>28</v>
      </c>
      <c r="T17">
        <v>23</v>
      </c>
      <c r="X17" t="s">
        <v>2881</v>
      </c>
      <c r="Y17" s="95" t="s">
        <v>2880</v>
      </c>
      <c r="AA17">
        <v>1.2</v>
      </c>
      <c r="AC17" s="248">
        <v>2026</v>
      </c>
      <c r="AD17" s="95"/>
      <c r="AE17" s="249"/>
    </row>
    <row r="18" spans="1:31" x14ac:dyDescent="0.25">
      <c r="A18" s="98">
        <v>2026</v>
      </c>
      <c r="B18" s="98" t="str">
        <v>2026-013</v>
      </c>
      <c r="C18" s="98" t="str">
        <v>Realizado</v>
      </c>
      <c r="D18" s="95" t="str">
        <v>Curso para gestores e fiscais de contratos de serviços assistenciais complementares – SES/DF - T2</v>
      </c>
      <c r="E18" s="97">
        <v>12</v>
      </c>
      <c r="F18" s="95" t="str">
        <v>Adriana Magalhães</v>
      </c>
      <c r="G18" s="97">
        <v>2</v>
      </c>
      <c r="H18" s="99">
        <v>12</v>
      </c>
      <c r="I18" s="99">
        <v>1.7999999999999998</v>
      </c>
      <c r="J18" s="99">
        <v>13.8</v>
      </c>
      <c r="L18">
        <v>2026</v>
      </c>
      <c r="M18" t="str">
        <v>2026-019</v>
      </c>
      <c r="N18" t="str">
        <v>Realizado</v>
      </c>
      <c r="O18" t="str">
        <v>Tcendo o Futuro</v>
      </c>
      <c r="P18">
        <v>4</v>
      </c>
      <c r="Q18" t="str">
        <v>Cinthia Thais de Carvalho Luz Thomazi; Adriana Cuoco Portugal; Fernanda Viana de Souza; Denise Duarte Guirra Kuhlmann;  Priscila Nolasco de Oliveira</v>
      </c>
      <c r="R18">
        <v>5</v>
      </c>
      <c r="S18">
        <v>33</v>
      </c>
      <c r="T18">
        <v>28</v>
      </c>
      <c r="X18" t="s">
        <v>2882</v>
      </c>
      <c r="Y18" s="95" t="s">
        <v>1343</v>
      </c>
      <c r="AA18">
        <v>1.2</v>
      </c>
      <c r="AC18" s="248">
        <v>2026</v>
      </c>
      <c r="AD18" s="95"/>
      <c r="AE18" s="249"/>
    </row>
    <row r="19" spans="1:31" x14ac:dyDescent="0.25">
      <c r="A19" s="98">
        <v>2026</v>
      </c>
      <c r="B19" s="98" t="str">
        <v>2026-013</v>
      </c>
      <c r="C19" s="98" t="str">
        <v>Realizado</v>
      </c>
      <c r="D19" s="95" t="str">
        <v>Curso para gestores e fiscais de contratos de serviços assistenciais complementares – SES/DF - T2</v>
      </c>
      <c r="E19" s="97">
        <v>12</v>
      </c>
      <c r="F19" s="95" t="str">
        <v>Luciana Alvim</v>
      </c>
      <c r="G19" s="97">
        <v>2</v>
      </c>
      <c r="H19" s="99">
        <v>12</v>
      </c>
      <c r="I19" s="99">
        <v>1.7999999999999998</v>
      </c>
      <c r="J19" s="99">
        <v>13.8</v>
      </c>
      <c r="L19">
        <v>2026</v>
      </c>
      <c r="M19" t="str">
        <v>2026-020</v>
      </c>
      <c r="N19" t="str">
        <v xml:space="preserve">Cancelado </v>
      </c>
      <c r="O19" t="str">
        <v>Escola de Instrutores - Curso "Fundamentos em TD&amp;E"</v>
      </c>
      <c r="P19">
        <v>16</v>
      </c>
      <c r="Q19" t="str">
        <v>Paulo José Góes Daltro</v>
      </c>
      <c r="R19">
        <v>1</v>
      </c>
      <c r="S19">
        <v>34</v>
      </c>
      <c r="T19">
        <v>33</v>
      </c>
      <c r="X19" t="s">
        <v>2882</v>
      </c>
      <c r="Y19" s="95" t="s">
        <v>1023</v>
      </c>
      <c r="AA19">
        <v>1.2</v>
      </c>
      <c r="AC19" s="248">
        <v>2026</v>
      </c>
      <c r="AD19" s="95"/>
      <c r="AE19" s="249"/>
    </row>
    <row r="20" spans="1:31" x14ac:dyDescent="0.25">
      <c r="A20" s="98">
        <v>2026</v>
      </c>
      <c r="B20" s="98" t="str">
        <v>2026-015</v>
      </c>
      <c r="C20" s="98" t="str">
        <v>Realizado</v>
      </c>
      <c r="D20" s="95" t="str">
        <v>Introdução à Engenharia de Prompt - t2</v>
      </c>
      <c r="E20" s="97">
        <v>8</v>
      </c>
      <c r="F20" s="95" t="str">
        <v>Arthur Wú</v>
      </c>
      <c r="G20" s="97">
        <v>2</v>
      </c>
      <c r="H20" s="99">
        <v>8</v>
      </c>
      <c r="I20" s="99">
        <v>2.4</v>
      </c>
      <c r="J20" s="99">
        <v>10.4</v>
      </c>
      <c r="L20">
        <v>2026</v>
      </c>
      <c r="M20" t="str">
        <v>2026-022</v>
      </c>
      <c r="N20" t="str">
        <v>Realizado</v>
      </c>
      <c r="O20" t="str">
        <v>Fiscalizações Baseadas em Risco</v>
      </c>
      <c r="P20">
        <v>20</v>
      </c>
      <c r="Q20" t="str">
        <v>Reinaldo Alencar; Rogério Ribeiro</v>
      </c>
      <c r="R20">
        <v>2</v>
      </c>
      <c r="S20">
        <v>36</v>
      </c>
      <c r="T20">
        <v>34</v>
      </c>
      <c r="X20" t="s">
        <v>2882</v>
      </c>
      <c r="Y20" s="95" t="s">
        <v>1367</v>
      </c>
      <c r="AA20">
        <v>1.2</v>
      </c>
      <c r="AC20" s="248">
        <v>2026</v>
      </c>
      <c r="AD20" s="95"/>
      <c r="AE20" s="249"/>
    </row>
    <row r="21" spans="1:31" x14ac:dyDescent="0.25">
      <c r="A21" s="98">
        <v>2026</v>
      </c>
      <c r="B21" s="98" t="str">
        <v>2026-015</v>
      </c>
      <c r="C21" s="98" t="str">
        <v>Realizado</v>
      </c>
      <c r="D21" s="95" t="str">
        <v>Introdução à Engenharia de Prompt - t2</v>
      </c>
      <c r="E21" s="97">
        <v>8</v>
      </c>
      <c r="F21" s="95" t="str">
        <v>Gustavo Takahashi</v>
      </c>
      <c r="G21" s="97">
        <v>2</v>
      </c>
      <c r="H21" s="99">
        <v>8</v>
      </c>
      <c r="I21" s="99">
        <v>0</v>
      </c>
      <c r="J21" s="99">
        <v>8</v>
      </c>
      <c r="L21">
        <v>2026</v>
      </c>
      <c r="M21" t="str">
        <v>2026-023</v>
      </c>
      <c r="N21" t="str">
        <v>Realizado</v>
      </c>
      <c r="O21" t="str">
        <v>Curso de formação para gestores e fiscais de Contrato em equipamentos nas unidades hospitalares - T2</v>
      </c>
      <c r="P21">
        <v>12</v>
      </c>
      <c r="Q21" t="str">
        <v>Tarsila Firmino Ely; Luciana Alvim</v>
      </c>
      <c r="R21">
        <v>2</v>
      </c>
      <c r="S21">
        <v>38</v>
      </c>
      <c r="T21">
        <v>36</v>
      </c>
      <c r="X21" t="s">
        <v>2882</v>
      </c>
      <c r="Y21" s="95" t="s">
        <v>2879</v>
      </c>
      <c r="AA21">
        <v>1.2</v>
      </c>
      <c r="AC21" s="248">
        <v>2026</v>
      </c>
      <c r="AD21" s="95"/>
      <c r="AE21" s="249"/>
    </row>
    <row r="22" spans="1:31" x14ac:dyDescent="0.25">
      <c r="A22" s="98">
        <v>2026</v>
      </c>
      <c r="B22" s="98" t="str">
        <v>2026-016</v>
      </c>
      <c r="C22" s="98" t="str">
        <v>Realizado</v>
      </c>
      <c r="D22" s="95" t="str">
        <v>Mentoria de introdução à Engenharia de Prompt</v>
      </c>
      <c r="E22" s="97">
        <v>2</v>
      </c>
      <c r="F22" s="95" t="str">
        <v>Arthur Wú</v>
      </c>
      <c r="G22" s="97">
        <v>2</v>
      </c>
      <c r="H22" s="99">
        <v>1</v>
      </c>
      <c r="I22" s="99">
        <v>0.6</v>
      </c>
      <c r="J22" s="99">
        <v>1.6</v>
      </c>
      <c r="L22">
        <v>2026</v>
      </c>
      <c r="M22" t="str">
        <v>2026-024</v>
      </c>
      <c r="N22" t="str">
        <v>A realizar</v>
      </c>
      <c r="O22" t="str">
        <v>Escola de Instrutores - Design Instrucional</v>
      </c>
      <c r="P22">
        <v>12</v>
      </c>
      <c r="Q22" t="str">
        <v>Paulo José Góes Daltro</v>
      </c>
      <c r="R22">
        <v>1</v>
      </c>
      <c r="S22">
        <v>39</v>
      </c>
      <c r="T22">
        <v>38</v>
      </c>
      <c r="X22" t="s">
        <v>2882</v>
      </c>
      <c r="Y22" s="95" t="s">
        <v>2880</v>
      </c>
      <c r="AA22">
        <v>1.2</v>
      </c>
      <c r="AC22" s="248">
        <v>2026</v>
      </c>
      <c r="AD22" s="95"/>
      <c r="AE22" s="249"/>
    </row>
    <row r="23" spans="1:31" x14ac:dyDescent="0.25">
      <c r="A23" s="98">
        <v>2026</v>
      </c>
      <c r="B23" s="98" t="str">
        <v>2026-016</v>
      </c>
      <c r="C23" s="98" t="str">
        <v>Realizado</v>
      </c>
      <c r="D23" s="95" t="str">
        <v>Mentoria de introdução à Engenharia de Prompt</v>
      </c>
      <c r="E23" s="97">
        <v>2</v>
      </c>
      <c r="F23" s="95" t="str">
        <v>Gustavo Takahashi</v>
      </c>
      <c r="G23" s="97">
        <v>2</v>
      </c>
      <c r="H23" s="99">
        <v>1</v>
      </c>
      <c r="I23" s="99">
        <v>0</v>
      </c>
      <c r="J23" s="99">
        <v>1</v>
      </c>
      <c r="L23">
        <v>2026</v>
      </c>
      <c r="M23" t="str">
        <v>2026-025</v>
      </c>
      <c r="N23" t="str">
        <v>Realizado</v>
      </c>
      <c r="O23" t="str">
        <v>Curso de formação para gestores e fiscais de Contrato em equipamentos nas unidades hospitalares - T3</v>
      </c>
      <c r="P23">
        <v>12</v>
      </c>
      <c r="Q23" t="str">
        <v>Tarsila Firmino Ely; Luciana Alvim</v>
      </c>
      <c r="R23">
        <v>2</v>
      </c>
      <c r="S23">
        <v>41</v>
      </c>
      <c r="T23">
        <v>39</v>
      </c>
      <c r="X23" s="98" t="s">
        <v>2883</v>
      </c>
      <c r="Y23" s="95" t="s">
        <v>2713</v>
      </c>
      <c r="AA23">
        <v>2.4</v>
      </c>
      <c r="AC23" s="248">
        <v>2026</v>
      </c>
      <c r="AD23" s="95"/>
      <c r="AE23" s="249"/>
    </row>
    <row r="24" spans="1:31" x14ac:dyDescent="0.25">
      <c r="A24" s="98">
        <v>2026</v>
      </c>
      <c r="B24" s="98" t="str">
        <v>2026-017</v>
      </c>
      <c r="C24" s="98" t="str">
        <v>Realizado</v>
      </c>
      <c r="D24" s="95" t="str">
        <v>Mostra Fotográfica “Meu Olhar sobre Brasília”</v>
      </c>
      <c r="E24" s="97">
        <v>0</v>
      </c>
      <c r="F24" s="95" t="str">
        <v>Servidores, colaboradores e estagiários do TCDF</v>
      </c>
      <c r="G24" s="97">
        <v>1</v>
      </c>
      <c r="H24" s="99">
        <v>0</v>
      </c>
      <c r="I24" s="99">
        <v>0</v>
      </c>
      <c r="J24" s="99">
        <v>0</v>
      </c>
      <c r="L24">
        <v>2026</v>
      </c>
      <c r="M24" t="str">
        <v>2026-030</v>
      </c>
      <c r="N24" t="str">
        <v>A realizar</v>
      </c>
      <c r="O24" t="str">
        <v>O novo olhar sobre as políticas públicas para o Controle Externo</v>
      </c>
      <c r="P24">
        <v>24</v>
      </c>
      <c r="Q24" t="str">
        <v>Reinaldo Alencar; Rogério Ribeiro</v>
      </c>
      <c r="R24">
        <v>2</v>
      </c>
      <c r="S24">
        <v>43</v>
      </c>
      <c r="T24">
        <v>41</v>
      </c>
      <c r="X24" s="98" t="s">
        <v>2883</v>
      </c>
      <c r="Y24" s="95" t="s">
        <v>2875</v>
      </c>
      <c r="AA24">
        <v>0</v>
      </c>
      <c r="AC24" s="248">
        <v>2026</v>
      </c>
      <c r="AD24" s="95"/>
      <c r="AE24" s="249"/>
    </row>
    <row r="25" spans="1:31" x14ac:dyDescent="0.25">
      <c r="A25" s="98">
        <v>2026</v>
      </c>
      <c r="B25" s="98" t="str">
        <v>2026-018</v>
      </c>
      <c r="C25" s="98" t="str">
        <v>Realizado</v>
      </c>
      <c r="D25" s="95" t="str">
        <v>Tcendo o Futuro</v>
      </c>
      <c r="E25" s="97">
        <v>4</v>
      </c>
      <c r="F25" s="95" t="str">
        <v>Cinthia Thais de Carvalho Luz Thomazi</v>
      </c>
      <c r="G25" s="97">
        <v>5</v>
      </c>
      <c r="H25" s="99">
        <v>4</v>
      </c>
      <c r="I25" s="99">
        <v>1.2</v>
      </c>
      <c r="J25" s="99">
        <v>5.2</v>
      </c>
      <c r="L25">
        <v>2026</v>
      </c>
      <c r="M25" t="str">
        <v>2026-032</v>
      </c>
      <c r="N25" t="str">
        <v>Em andamento</v>
      </c>
      <c r="O25" t="str">
        <v>MROSC para os gestores das Organizações da Sociedade Civil – OSCs</v>
      </c>
      <c r="P25">
        <v>12</v>
      </c>
      <c r="Q25" t="str">
        <v>Indio Artiaga do Brasil Rabelo; Leonardo de Melo</v>
      </c>
      <c r="R25">
        <v>2</v>
      </c>
      <c r="S25">
        <v>45</v>
      </c>
      <c r="T25">
        <v>43</v>
      </c>
      <c r="X25" t="s">
        <v>2884</v>
      </c>
      <c r="Y25" s="95" t="s">
        <v>855</v>
      </c>
      <c r="AA25">
        <v>3.6</v>
      </c>
      <c r="AC25" s="248">
        <v>2026</v>
      </c>
      <c r="AD25" s="95"/>
      <c r="AE25" s="249"/>
    </row>
    <row r="26" spans="1:31" x14ac:dyDescent="0.25">
      <c r="A26" s="98">
        <v>2026</v>
      </c>
      <c r="B26" s="98" t="str">
        <v>2026-018</v>
      </c>
      <c r="C26" s="98" t="str">
        <v>Realizado</v>
      </c>
      <c r="D26" s="95" t="str">
        <v>Tcendo o Futuro</v>
      </c>
      <c r="E26" s="97">
        <v>4</v>
      </c>
      <c r="F26" s="95" t="str">
        <v>Adriana Cuoco Portugal</v>
      </c>
      <c r="G26" s="97">
        <v>5</v>
      </c>
      <c r="H26" s="99">
        <v>4</v>
      </c>
      <c r="I26" s="99">
        <v>1.2</v>
      </c>
      <c r="J26" s="99">
        <v>5.2</v>
      </c>
      <c r="L26">
        <v>2026</v>
      </c>
      <c r="M26" t="str">
        <v>2026-033</v>
      </c>
      <c r="N26" t="str">
        <v>Realizado</v>
      </c>
      <c r="O26" t="str">
        <v>Introdução à Engenharia de Prompt - T3</v>
      </c>
      <c r="P26">
        <v>8</v>
      </c>
      <c r="Q26" t="str">
        <v>Arthur Wú; Gustavo Takahashi</v>
      </c>
      <c r="R26">
        <v>2</v>
      </c>
      <c r="S26">
        <v>47</v>
      </c>
      <c r="T26">
        <v>45</v>
      </c>
      <c r="X26" t="s">
        <v>2884</v>
      </c>
      <c r="Y26" s="95" t="s">
        <v>2885</v>
      </c>
      <c r="Z26">
        <v>0</v>
      </c>
      <c r="AA26">
        <v>0</v>
      </c>
      <c r="AC26" s="248">
        <v>2026</v>
      </c>
      <c r="AD26" s="95"/>
      <c r="AE26" s="249"/>
    </row>
    <row r="27" spans="1:31" x14ac:dyDescent="0.25">
      <c r="A27" s="98">
        <v>2026</v>
      </c>
      <c r="B27" s="98" t="str">
        <v>2026-018</v>
      </c>
      <c r="C27" s="98" t="str">
        <v>Realizado</v>
      </c>
      <c r="D27" s="95" t="str">
        <v>Tcendo o Futuro</v>
      </c>
      <c r="E27" s="97">
        <v>4</v>
      </c>
      <c r="F27" s="95" t="str">
        <v>Fernanda Viana de Souza</v>
      </c>
      <c r="G27" s="97">
        <v>5</v>
      </c>
      <c r="H27" s="99">
        <v>4</v>
      </c>
      <c r="I27" s="99">
        <v>1.2</v>
      </c>
      <c r="J27" s="99">
        <v>5.2</v>
      </c>
      <c r="L27">
        <v>2026</v>
      </c>
      <c r="M27" t="str">
        <v>2026-034</v>
      </c>
      <c r="N27" t="str">
        <v>Realizado</v>
      </c>
      <c r="O27" t="str">
        <v>Introdução à Engenharia de Prompt - T4</v>
      </c>
      <c r="P27">
        <v>8</v>
      </c>
      <c r="Q27" t="str">
        <v>Arthur Wú; Gustavo Takahashi</v>
      </c>
      <c r="R27">
        <v>2</v>
      </c>
      <c r="S27">
        <v>49</v>
      </c>
      <c r="T27">
        <v>47</v>
      </c>
      <c r="X27" s="256" t="s">
        <v>2886</v>
      </c>
      <c r="Y27" s="95" t="s">
        <v>2713</v>
      </c>
      <c r="AA27">
        <v>2.4</v>
      </c>
      <c r="AC27" s="248">
        <v>2026</v>
      </c>
      <c r="AD27" s="95"/>
      <c r="AE27" s="249"/>
    </row>
    <row r="28" spans="1:31" x14ac:dyDescent="0.25">
      <c r="A28" s="98">
        <v>2026</v>
      </c>
      <c r="B28" s="98" t="str">
        <v>2026-018</v>
      </c>
      <c r="C28" s="98" t="str">
        <v>Realizado</v>
      </c>
      <c r="D28" s="95" t="str">
        <v>Tcendo o Futuro</v>
      </c>
      <c r="E28" s="97">
        <v>4</v>
      </c>
      <c r="F28" s="95" t="str">
        <v>Denise Duarte Guirra Kuhlmann</v>
      </c>
      <c r="G28" s="97">
        <v>5</v>
      </c>
      <c r="H28" s="99">
        <v>4</v>
      </c>
      <c r="I28" s="99">
        <v>1.2</v>
      </c>
      <c r="J28" s="99">
        <v>5.2</v>
      </c>
      <c r="L28">
        <v>2026</v>
      </c>
      <c r="M28" t="str">
        <v>2026-035</v>
      </c>
      <c r="N28" t="str">
        <v>Realizado</v>
      </c>
      <c r="O28" t="str">
        <v>Curso básico de e-TCDF</v>
      </c>
      <c r="P28">
        <v>16</v>
      </c>
      <c r="Q28" t="str">
        <v>Cássio Murilo Alves Costa Filho</v>
      </c>
      <c r="R28">
        <v>1</v>
      </c>
      <c r="S28">
        <v>50</v>
      </c>
      <c r="T28">
        <v>49</v>
      </c>
      <c r="X28" s="256" t="s">
        <v>2886</v>
      </c>
      <c r="Y28" s="95" t="s">
        <v>2875</v>
      </c>
      <c r="AA28">
        <v>0</v>
      </c>
      <c r="AC28" s="248">
        <v>2026</v>
      </c>
      <c r="AD28" s="95"/>
      <c r="AE28" s="249"/>
    </row>
    <row r="29" spans="1:31" x14ac:dyDescent="0.25">
      <c r="A29" s="98">
        <v>2026</v>
      </c>
      <c r="B29" s="98" t="str">
        <v>2026-018</v>
      </c>
      <c r="C29" s="98" t="str">
        <v>Realizado</v>
      </c>
      <c r="D29" s="95" t="str">
        <v>Tcendo o Futuro</v>
      </c>
      <c r="E29" s="97">
        <v>4</v>
      </c>
      <c r="F29" s="95" t="str">
        <v>Priscila Nolasco de Oliveira</v>
      </c>
      <c r="G29" s="97">
        <v>5</v>
      </c>
      <c r="H29" s="99">
        <v>4</v>
      </c>
      <c r="I29" s="99">
        <v>0.24</v>
      </c>
      <c r="J29" s="99">
        <v>4.24</v>
      </c>
      <c r="L29">
        <v>2026</v>
      </c>
      <c r="M29" t="str">
        <v>2026-036</v>
      </c>
      <c r="N29" t="str">
        <v>Realizado</v>
      </c>
      <c r="O29" t="str">
        <v>Curso de Ambientação para os novos Auditores de Controle Externo - Área Auditoria</v>
      </c>
      <c r="P29">
        <v>20</v>
      </c>
      <c r="Q29" t="str">
        <v>Diversos</v>
      </c>
      <c r="R29">
        <v>1</v>
      </c>
      <c r="S29">
        <v>51</v>
      </c>
      <c r="T29">
        <v>50</v>
      </c>
      <c r="X29" s="256" t="s">
        <v>2887</v>
      </c>
      <c r="Y29" s="95" t="s">
        <v>2713</v>
      </c>
      <c r="AA29">
        <v>2.4</v>
      </c>
      <c r="AC29" s="248">
        <v>2026</v>
      </c>
      <c r="AD29" s="95"/>
      <c r="AE29" s="249"/>
    </row>
    <row r="30" spans="1:31" x14ac:dyDescent="0.25">
      <c r="A30" s="98">
        <v>2026</v>
      </c>
      <c r="B30" s="98" t="str">
        <v>2026-019</v>
      </c>
      <c r="C30" s="98" t="str">
        <v>Realizado</v>
      </c>
      <c r="D30" s="95" t="str">
        <v>Tcendo o Futuro</v>
      </c>
      <c r="E30" s="97">
        <v>4</v>
      </c>
      <c r="F30" s="95" t="str">
        <v>Cinthia Thais de Carvalho Luz Thomazi</v>
      </c>
      <c r="G30" s="97">
        <v>5</v>
      </c>
      <c r="H30" s="99">
        <v>4</v>
      </c>
      <c r="I30" s="99">
        <v>0.24</v>
      </c>
      <c r="J30" s="99">
        <v>4.24</v>
      </c>
      <c r="L30">
        <v>2026</v>
      </c>
      <c r="M30" t="str">
        <v>2026-037</v>
      </c>
      <c r="N30" t="str">
        <v>Realizado</v>
      </c>
      <c r="O30" t="str">
        <v>Curso de Formação Inicial para Novos Auditores do TCDF</v>
      </c>
      <c r="P30">
        <v>12</v>
      </c>
      <c r="Q30" t="str">
        <v>Cinthia Thais de Carvalho Luz Thomazi; Reinaldo Alencar; Rogério Ribeiro; Rômulo Miranda Alvim; Gabriel Heller</v>
      </c>
      <c r="R30">
        <v>5</v>
      </c>
      <c r="S30">
        <v>56</v>
      </c>
      <c r="T30">
        <v>51</v>
      </c>
      <c r="X30" s="256" t="s">
        <v>2887</v>
      </c>
      <c r="Y30" s="95" t="s">
        <v>2875</v>
      </c>
      <c r="AA30">
        <v>0</v>
      </c>
      <c r="AC30" s="248">
        <v>2026</v>
      </c>
      <c r="AD30" s="95"/>
      <c r="AE30" s="249"/>
    </row>
    <row r="31" spans="1:31" x14ac:dyDescent="0.25">
      <c r="A31" s="98">
        <v>2026</v>
      </c>
      <c r="B31" s="98" t="str">
        <v>2026-019</v>
      </c>
      <c r="C31" s="98" t="str">
        <v>Realizado</v>
      </c>
      <c r="D31" s="95" t="str">
        <v>Tcendo o Futuro</v>
      </c>
      <c r="E31" s="97">
        <v>4</v>
      </c>
      <c r="F31" s="95" t="str">
        <v>Adriana Cuoco Portugal</v>
      </c>
      <c r="G31" s="97">
        <v>5</v>
      </c>
      <c r="H31" s="99">
        <v>4</v>
      </c>
      <c r="I31" s="99">
        <v>0.24</v>
      </c>
      <c r="J31" s="99">
        <v>4.24</v>
      </c>
      <c r="L31">
        <v>2026</v>
      </c>
      <c r="M31" t="str">
        <v>2026-038</v>
      </c>
      <c r="N31" t="str">
        <v>A realizar</v>
      </c>
      <c r="O31" t="str">
        <v>Elaboração da Cartilha "Gestão e Fiscalização de Contratos em Saúde"</v>
      </c>
      <c r="P31">
        <v>85</v>
      </c>
      <c r="Q31" t="str">
        <v>Tarsila Firmino Ely; Luciana Alvim</v>
      </c>
      <c r="R31">
        <v>2</v>
      </c>
      <c r="S31">
        <v>58</v>
      </c>
      <c r="T31">
        <v>56</v>
      </c>
      <c r="X31" s="256" t="s">
        <v>2888</v>
      </c>
      <c r="Y31" s="95" t="s">
        <v>472</v>
      </c>
      <c r="Z31">
        <v>0</v>
      </c>
      <c r="AA31">
        <v>0</v>
      </c>
      <c r="AC31" s="248">
        <v>2026</v>
      </c>
      <c r="AD31" s="95"/>
      <c r="AE31" s="249"/>
    </row>
    <row r="32" spans="1:31" x14ac:dyDescent="0.25">
      <c r="A32" s="98">
        <v>2026</v>
      </c>
      <c r="B32" s="98" t="str">
        <v>2026-019</v>
      </c>
      <c r="C32" s="98" t="str">
        <v>Realizado</v>
      </c>
      <c r="D32" s="95" t="str">
        <v>Tcendo o Futuro</v>
      </c>
      <c r="E32" s="97">
        <v>4</v>
      </c>
      <c r="F32" s="95" t="str">
        <v>Fernanda Viana de Souza</v>
      </c>
      <c r="G32" s="97">
        <v>5</v>
      </c>
      <c r="H32" s="99">
        <v>4</v>
      </c>
      <c r="I32" s="99">
        <v>0.24</v>
      </c>
      <c r="J32" s="99">
        <v>4.24</v>
      </c>
      <c r="L32">
        <v>2026</v>
      </c>
      <c r="M32" t="str">
        <v>2026-039</v>
      </c>
      <c r="N32" t="str">
        <v>A realizar</v>
      </c>
      <c r="O32" t="str">
        <v>Curso de Formação para Conselheiros de Saúde do DF</v>
      </c>
      <c r="P32">
        <v>20</v>
      </c>
      <c r="Q32" t="str">
        <v>Tarsila Firmino Ely</v>
      </c>
      <c r="R32">
        <v>1</v>
      </c>
      <c r="S32">
        <v>59</v>
      </c>
      <c r="T32">
        <v>58</v>
      </c>
      <c r="X32" s="256" t="s">
        <v>2889</v>
      </c>
      <c r="Y32" t="s">
        <v>1343</v>
      </c>
      <c r="Z32">
        <v>4</v>
      </c>
      <c r="AA32">
        <v>0.6</v>
      </c>
      <c r="AC32" s="248">
        <v>2026</v>
      </c>
      <c r="AD32" s="95"/>
      <c r="AE32" s="249"/>
    </row>
    <row r="33" spans="1:31" x14ac:dyDescent="0.25">
      <c r="A33" s="98">
        <v>2026</v>
      </c>
      <c r="B33" s="98" t="str">
        <v>2026-019</v>
      </c>
      <c r="C33" s="98" t="str">
        <v>Realizado</v>
      </c>
      <c r="D33" s="95" t="str">
        <v>Tcendo o Futuro</v>
      </c>
      <c r="E33" s="97">
        <v>4</v>
      </c>
      <c r="F33" s="95" t="str">
        <v>Denise Duarte Guirra Kuhlmann</v>
      </c>
      <c r="G33" s="97">
        <v>5</v>
      </c>
      <c r="H33" s="99">
        <v>4</v>
      </c>
      <c r="I33" s="99">
        <v>0.24</v>
      </c>
      <c r="J33" s="99">
        <v>4.24</v>
      </c>
      <c r="L33">
        <v>2026</v>
      </c>
      <c r="M33" t="str">
        <v>2026-040</v>
      </c>
      <c r="N33" t="str">
        <v>Realizado</v>
      </c>
      <c r="O33" t="str">
        <v>UniTCDF: TCDF e a Fiscalização de Obras</v>
      </c>
      <c r="P33">
        <v>4</v>
      </c>
      <c r="Q33" t="str">
        <v>Adriana Cuoco Portugal</v>
      </c>
      <c r="R33">
        <v>1</v>
      </c>
      <c r="S33">
        <v>60</v>
      </c>
      <c r="T33">
        <v>59</v>
      </c>
      <c r="X33" s="256" t="s">
        <v>2889</v>
      </c>
      <c r="Y33" t="s">
        <v>2890</v>
      </c>
      <c r="Z33">
        <v>4</v>
      </c>
      <c r="AA33">
        <v>0.6</v>
      </c>
      <c r="AC33" s="250"/>
      <c r="AD33" s="251" t="s">
        <v>2891</v>
      </c>
      <c r="AE33" s="252">
        <f>SUM(AE3:AE32)</f>
        <v>80</v>
      </c>
    </row>
    <row r="34" spans="1:31" x14ac:dyDescent="0.25">
      <c r="A34" s="98">
        <v>2026</v>
      </c>
      <c r="B34" s="98" t="str">
        <v>2026-019</v>
      </c>
      <c r="C34" s="98" t="str">
        <v>Realizado</v>
      </c>
      <c r="D34" s="95" t="str">
        <v>Tcendo o Futuro</v>
      </c>
      <c r="E34" s="97">
        <v>4</v>
      </c>
      <c r="F34" s="95" t="str">
        <v>Priscila Nolasco de Oliveira</v>
      </c>
      <c r="G34" s="97">
        <v>5</v>
      </c>
      <c r="H34" s="99">
        <v>4</v>
      </c>
      <c r="I34" s="99">
        <v>0.24</v>
      </c>
      <c r="J34" s="99">
        <v>4.24</v>
      </c>
      <c r="L34">
        <v>2026</v>
      </c>
      <c r="M34" t="str">
        <v>2026-041</v>
      </c>
      <c r="N34" t="str">
        <v>Realizado</v>
      </c>
      <c r="O34" t="str">
        <v>UniTCDF: Ciências Contábeis</v>
      </c>
      <c r="P34">
        <v>3</v>
      </c>
      <c r="Q34" t="str">
        <v>Fernanda Viana de Souza; Túllio Herbeth Teixeira Moraes</v>
      </c>
      <c r="R34">
        <v>2</v>
      </c>
      <c r="S34">
        <v>62</v>
      </c>
      <c r="T34">
        <v>60</v>
      </c>
      <c r="X34" s="256" t="s">
        <v>2889</v>
      </c>
      <c r="Y34" t="s">
        <v>2892</v>
      </c>
      <c r="Z34">
        <v>4</v>
      </c>
      <c r="AA34">
        <v>0.6</v>
      </c>
    </row>
    <row r="35" spans="1:31" x14ac:dyDescent="0.25">
      <c r="A35" s="98">
        <v>2026</v>
      </c>
      <c r="B35" s="98" t="str">
        <v>2026-020</v>
      </c>
      <c r="C35" s="98" t="str">
        <v xml:space="preserve">Cancelado </v>
      </c>
      <c r="D35" s="95" t="str">
        <v>Escola de Instrutores - Curso "Fundamentos em TD&amp;E"</v>
      </c>
      <c r="E35" s="97">
        <v>16</v>
      </c>
      <c r="F35" s="95" t="str">
        <v>Paulo José Góes Daltro</v>
      </c>
      <c r="G35" s="97">
        <v>1</v>
      </c>
      <c r="H35" s="99">
        <v>16</v>
      </c>
      <c r="I35" s="99">
        <v>4.8</v>
      </c>
      <c r="J35" s="99">
        <v>20.8</v>
      </c>
      <c r="L35">
        <v>2026</v>
      </c>
      <c r="M35" t="str">
        <v>2026-042</v>
      </c>
      <c r="N35" t="str">
        <v>A realizar</v>
      </c>
      <c r="O35" t="str">
        <v>Introdução ao processo de controle externo - EAD</v>
      </c>
      <c r="P35">
        <v>16</v>
      </c>
      <c r="Q35" t="str">
        <v>Gabriel Heller</v>
      </c>
      <c r="R35">
        <v>1</v>
      </c>
      <c r="S35">
        <v>63</v>
      </c>
      <c r="T35">
        <v>62</v>
      </c>
      <c r="X35" s="256" t="s">
        <v>2889</v>
      </c>
      <c r="Y35" t="s">
        <v>108</v>
      </c>
      <c r="Z35">
        <v>4</v>
      </c>
      <c r="AA35">
        <v>0.6</v>
      </c>
    </row>
    <row r="36" spans="1:31" x14ac:dyDescent="0.25">
      <c r="A36" s="98">
        <v>2026</v>
      </c>
      <c r="B36" s="98" t="str">
        <v>2026-022</v>
      </c>
      <c r="C36" s="98" t="str">
        <v>Realizado</v>
      </c>
      <c r="D36" s="95" t="str">
        <v>Fiscalizações Baseadas em Risco</v>
      </c>
      <c r="E36" s="97">
        <v>20</v>
      </c>
      <c r="F36" s="95" t="str">
        <v>Reinaldo Alencar</v>
      </c>
      <c r="G36" s="97">
        <v>2</v>
      </c>
      <c r="H36" s="99">
        <v>20</v>
      </c>
      <c r="I36" s="99">
        <v>3</v>
      </c>
      <c r="J36" s="99">
        <v>23</v>
      </c>
      <c r="L36">
        <v>2026</v>
      </c>
      <c r="M36" t="str">
        <v>2026-044</v>
      </c>
      <c r="N36" t="str">
        <v>A realizar</v>
      </c>
      <c r="O36" t="str">
        <v>Painel MROSC</v>
      </c>
      <c r="P36">
        <v>4</v>
      </c>
      <c r="Q36" t="str">
        <v>Diversos</v>
      </c>
      <c r="R36">
        <v>1</v>
      </c>
      <c r="S36">
        <v>64</v>
      </c>
      <c r="T36">
        <v>63</v>
      </c>
      <c r="X36" s="256" t="s">
        <v>2889</v>
      </c>
      <c r="Y36" t="s">
        <v>549</v>
      </c>
      <c r="Z36">
        <v>4</v>
      </c>
      <c r="AA36">
        <v>1.2</v>
      </c>
    </row>
    <row r="37" spans="1:31" x14ac:dyDescent="0.25">
      <c r="A37">
        <v>2026</v>
      </c>
      <c r="B37" t="str">
        <v>2026-022</v>
      </c>
      <c r="C37" s="163" t="str">
        <v>Realizado</v>
      </c>
      <c r="D37" t="str">
        <v>Fiscalizações Baseadas em Risco</v>
      </c>
      <c r="E37" s="163">
        <v>20</v>
      </c>
      <c r="F37" t="str">
        <v>Rogério Ribeiro</v>
      </c>
      <c r="G37" s="163">
        <v>2</v>
      </c>
      <c r="H37" s="163">
        <v>20</v>
      </c>
      <c r="I37" s="163">
        <v>3</v>
      </c>
      <c r="J37" s="163">
        <v>23</v>
      </c>
      <c r="L37">
        <v>2026</v>
      </c>
      <c r="M37" t="str">
        <v>2026-045</v>
      </c>
      <c r="N37" t="str">
        <v>A realizar</v>
      </c>
      <c r="O37" t="str">
        <v>31º SEMAT</v>
      </c>
      <c r="P37">
        <v>8</v>
      </c>
      <c r="Q37" t="str">
        <v>José Roberto Alcuri Júnior; Felipe Ramos Barbosa; Carolina Pereira de Oliveira; Eustáquio Rabelo de Souza; Alinne Patrícia de Andrade Carvalho; Silvia Lima Damasceno Carvalho; Marcelo Santana; Cinthia Thais de Carvalho Luz Thomazi; Igor Queiroz; Guilherme Bride Fernandes</v>
      </c>
      <c r="R37">
        <v>10</v>
      </c>
      <c r="S37">
        <v>74</v>
      </c>
      <c r="T37">
        <v>64</v>
      </c>
      <c r="X37" t="s">
        <v>2893</v>
      </c>
      <c r="Y37" t="s">
        <v>418</v>
      </c>
      <c r="Z37">
        <v>0</v>
      </c>
      <c r="AA37">
        <v>85</v>
      </c>
    </row>
    <row r="38" spans="1:31" x14ac:dyDescent="0.25">
      <c r="A38">
        <v>2026</v>
      </c>
      <c r="B38" t="str">
        <v>2026-023</v>
      </c>
      <c r="C38" s="163" t="str">
        <v>Realizado</v>
      </c>
      <c r="D38" t="str">
        <v>Curso de formação para gestores e fiscais de Contrato em equipamentos nas unidades hospitalares - T2</v>
      </c>
      <c r="E38" s="163">
        <v>12</v>
      </c>
      <c r="F38" t="str">
        <v>Tarsila Firmino Ely</v>
      </c>
      <c r="G38" s="163">
        <v>2</v>
      </c>
      <c r="H38" s="163">
        <v>12</v>
      </c>
      <c r="I38" s="163">
        <v>1.7999999999999998</v>
      </c>
      <c r="J38" s="163">
        <v>13.8</v>
      </c>
      <c r="L38">
        <v>2026</v>
      </c>
      <c r="M38" t="str">
        <v>2026-046</v>
      </c>
      <c r="N38" t="str">
        <v>Realizado</v>
      </c>
      <c r="O38" t="str">
        <v>Curso “Sisaudit na Prática”</v>
      </c>
      <c r="P38">
        <v>12</v>
      </c>
      <c r="Q38" t="str">
        <v>Davi Assunção Salvador Nery de Castro; David da Silva de Araújo; Hamilton de Jesus Lopes Neto</v>
      </c>
      <c r="R38">
        <v>3</v>
      </c>
      <c r="S38">
        <v>77</v>
      </c>
      <c r="T38">
        <v>74</v>
      </c>
      <c r="X38" t="s">
        <v>2893</v>
      </c>
      <c r="Y38" s="259" t="s">
        <v>1096</v>
      </c>
      <c r="Z38">
        <v>0</v>
      </c>
      <c r="AA38">
        <v>85</v>
      </c>
    </row>
    <row r="39" spans="1:31" x14ac:dyDescent="0.25">
      <c r="A39">
        <v>2026</v>
      </c>
      <c r="B39" t="str">
        <v>2026-023</v>
      </c>
      <c r="C39" s="163" t="str">
        <v>Realizado</v>
      </c>
      <c r="D39" t="str">
        <v>Curso de formação para gestores e fiscais de Contrato em equipamentos nas unidades hospitalares - T2</v>
      </c>
      <c r="E39" s="163">
        <v>12</v>
      </c>
      <c r="F39" t="str">
        <v>Luciana Alvim</v>
      </c>
      <c r="G39" s="163">
        <v>2</v>
      </c>
      <c r="H39" s="163">
        <v>12</v>
      </c>
      <c r="I39" s="163">
        <v>1.7999999999999998</v>
      </c>
      <c r="J39" s="163">
        <v>13.8</v>
      </c>
      <c r="L39">
        <v>2026</v>
      </c>
      <c r="M39" t="str">
        <v>2026-047</v>
      </c>
      <c r="N39" t="str">
        <v>A realizar</v>
      </c>
      <c r="O39" t="str">
        <v>Contratações de TIC com base na jurisprudência do TCDF - EAD</v>
      </c>
      <c r="P39">
        <v>17.45</v>
      </c>
      <c r="Q39" t="str">
        <v>Flávio José Fonseca de Souza; Felipe da Costa Malaquias</v>
      </c>
      <c r="R39">
        <v>2</v>
      </c>
      <c r="S39">
        <v>79</v>
      </c>
      <c r="T39">
        <v>77</v>
      </c>
      <c r="X39" t="s">
        <v>2894</v>
      </c>
      <c r="Y39" t="s">
        <v>549</v>
      </c>
      <c r="Z39">
        <v>0</v>
      </c>
      <c r="AA39">
        <v>32</v>
      </c>
    </row>
    <row r="40" spans="1:31" x14ac:dyDescent="0.25">
      <c r="A40">
        <v>2026</v>
      </c>
      <c r="B40" t="str">
        <v>2026-024</v>
      </c>
      <c r="C40" s="163" t="str">
        <v>A realizar</v>
      </c>
      <c r="D40" t="str">
        <v>Escola de Instrutores - Design Instrucional</v>
      </c>
      <c r="E40" s="163">
        <v>12</v>
      </c>
      <c r="F40" t="str">
        <v>Paulo José Góes Daltro</v>
      </c>
      <c r="G40" s="163">
        <v>1</v>
      </c>
      <c r="H40" s="163">
        <v>0</v>
      </c>
      <c r="I40" s="163">
        <v>0</v>
      </c>
      <c r="J40" s="163">
        <v>0</v>
      </c>
      <c r="L40">
        <v>2026</v>
      </c>
      <c r="M40" t="str">
        <v>2026-048</v>
      </c>
      <c r="N40" t="str">
        <v>Em andamento</v>
      </c>
      <c r="O40" t="str">
        <v>Introdução à Engenharia de Prompt - SEE</v>
      </c>
      <c r="P40">
        <v>8</v>
      </c>
      <c r="Q40" t="str">
        <v>Arthur Wú; Gustavo Takahashi</v>
      </c>
      <c r="R40">
        <v>2</v>
      </c>
      <c r="S40">
        <v>81</v>
      </c>
      <c r="T40">
        <v>79</v>
      </c>
      <c r="X40" t="s">
        <v>2895</v>
      </c>
      <c r="Y40" t="s">
        <v>472</v>
      </c>
      <c r="Z40">
        <v>0</v>
      </c>
      <c r="AA40">
        <v>0</v>
      </c>
    </row>
    <row r="41" spans="1:31" x14ac:dyDescent="0.25">
      <c r="A41">
        <v>2026</v>
      </c>
      <c r="B41" t="str">
        <v>2026-025</v>
      </c>
      <c r="C41" s="163" t="str">
        <v>Realizado</v>
      </c>
      <c r="D41" t="str">
        <v>Curso de formação para gestores e fiscais de Contrato em equipamentos nas unidades hospitalares - T3</v>
      </c>
      <c r="E41" s="163">
        <v>12</v>
      </c>
      <c r="F41" t="str">
        <v>Tarsila Firmino Ely</v>
      </c>
      <c r="G41" s="163">
        <v>2</v>
      </c>
      <c r="H41" s="163">
        <v>12</v>
      </c>
      <c r="I41" s="163">
        <v>1.7999999999999998</v>
      </c>
      <c r="J41" s="163">
        <v>13.8</v>
      </c>
      <c r="L41">
        <v>2026</v>
      </c>
      <c r="M41" t="str">
        <v>2026-049</v>
      </c>
      <c r="N41" t="str">
        <v>A realizar</v>
      </c>
      <c r="O41" t="str">
        <v>TCendo o Futuro</v>
      </c>
      <c r="P41">
        <v>4</v>
      </c>
      <c r="Q41" t="str">
        <v>Adriana Cuoco Portugal; Cinthia Thais de Carvalho Luz Thomazi; Fernanda Viana de Souza;  Luiz Felipe Tenório de Lima Gondim; Priscila Nolasco de Oliveira</v>
      </c>
      <c r="R41">
        <v>5</v>
      </c>
      <c r="S41">
        <v>86</v>
      </c>
      <c r="T41">
        <v>81</v>
      </c>
      <c r="X41" t="s">
        <v>2896</v>
      </c>
      <c r="Y41" t="s">
        <v>1472</v>
      </c>
      <c r="Z41">
        <v>0</v>
      </c>
      <c r="AA41">
        <v>34.9</v>
      </c>
    </row>
    <row r="42" spans="1:31" x14ac:dyDescent="0.25">
      <c r="A42">
        <v>2026</v>
      </c>
      <c r="B42" t="str">
        <v>2026-025</v>
      </c>
      <c r="C42" s="163" t="str">
        <v>Realizado</v>
      </c>
      <c r="D42" t="str">
        <v>Curso de formação para gestores e fiscais de Contrato em equipamentos nas unidades hospitalares - T3</v>
      </c>
      <c r="E42" s="163">
        <v>12</v>
      </c>
      <c r="F42" t="str">
        <v>Luciana Alvim</v>
      </c>
      <c r="G42" s="163">
        <v>2</v>
      </c>
      <c r="H42" s="163">
        <v>12</v>
      </c>
      <c r="I42" s="163">
        <v>1.7999999999999998</v>
      </c>
      <c r="J42" s="163">
        <v>13.8</v>
      </c>
      <c r="L42">
        <v>2026</v>
      </c>
      <c r="M42" t="str">
        <v>2026-050</v>
      </c>
      <c r="N42" t="str">
        <v>A realizar</v>
      </c>
      <c r="O42" t="str">
        <v>TCendo o Futuro</v>
      </c>
      <c r="P42">
        <v>4</v>
      </c>
      <c r="Q42" t="str">
        <v>Adriana Cuoco Portugal; Cinthia Thais de Carvalho Luz Thomazi; Fernanda Viana de Souza; Luiz Felipe Tenório de Lima Gondim; Priscila Nolasco de Oliveira</v>
      </c>
      <c r="R42">
        <v>5</v>
      </c>
      <c r="S42">
        <v>91</v>
      </c>
      <c r="T42">
        <v>86</v>
      </c>
      <c r="X42" t="s">
        <v>2896</v>
      </c>
      <c r="Y42" t="s">
        <v>2844</v>
      </c>
      <c r="Z42">
        <v>0</v>
      </c>
      <c r="AA42">
        <v>34.9</v>
      </c>
    </row>
    <row r="43" spans="1:31" x14ac:dyDescent="0.25">
      <c r="A43">
        <v>2026</v>
      </c>
      <c r="B43" t="str">
        <v>2026-030</v>
      </c>
      <c r="C43" t="str">
        <v>A realizar</v>
      </c>
      <c r="D43" t="str">
        <v>O novo olhar sobre as políticas públicas para o Controle Externo</v>
      </c>
      <c r="E43">
        <v>24</v>
      </c>
      <c r="F43" t="str">
        <v>Reinaldo Alencar</v>
      </c>
      <c r="G43">
        <v>2</v>
      </c>
      <c r="H43">
        <v>24</v>
      </c>
      <c r="I43">
        <v>3.5999999999999996</v>
      </c>
      <c r="J43">
        <v>27.6</v>
      </c>
      <c r="L43">
        <v>2026</v>
      </c>
      <c r="M43" t="str">
        <v>2026-051</v>
      </c>
      <c r="N43" t="str">
        <v>A realizar</v>
      </c>
      <c r="O43" t="str">
        <v>TCendo o Futuro</v>
      </c>
      <c r="P43">
        <v>4</v>
      </c>
      <c r="Q43" t="str">
        <v>Adriana Cuoco Portugal; Cinthia Thais de Carvalho Luz Thomazi; Fernanda Viana de Souza; Luiz Felipe Tenório de Lima Gondim; Priscila Nolasco de Oliveira</v>
      </c>
      <c r="R43">
        <v>5</v>
      </c>
      <c r="S43">
        <v>96</v>
      </c>
      <c r="T43">
        <v>91</v>
      </c>
      <c r="X43" t="s">
        <v>2897</v>
      </c>
      <c r="Y43" s="95" t="s">
        <v>2713</v>
      </c>
      <c r="AA43">
        <v>2.4</v>
      </c>
    </row>
    <row r="44" spans="1:31" x14ac:dyDescent="0.25">
      <c r="A44">
        <v>2026</v>
      </c>
      <c r="B44" t="str">
        <v>2026-030</v>
      </c>
      <c r="C44" t="str">
        <v>A realizar</v>
      </c>
      <c r="D44" t="str">
        <v>O novo olhar sobre as políticas públicas para o Controle Externo</v>
      </c>
      <c r="E44">
        <v>24</v>
      </c>
      <c r="F44" t="str">
        <v>Rogério Ribeiro</v>
      </c>
      <c r="G44">
        <v>2</v>
      </c>
      <c r="H44">
        <v>24</v>
      </c>
      <c r="I44">
        <v>3.5999999999999996</v>
      </c>
      <c r="J44">
        <v>27.6</v>
      </c>
      <c r="L44">
        <v>2026</v>
      </c>
      <c r="M44" t="str">
        <v>2026-052</v>
      </c>
      <c r="N44" t="str">
        <v>A realizar</v>
      </c>
      <c r="O44" t="str">
        <v>TCendo o Futuro</v>
      </c>
      <c r="P44">
        <v>4</v>
      </c>
      <c r="Q44" t="str">
        <v>Adriana Cuoco Portugal; Cinthia Thais de Carvalho Luz Thomazi; Fernanda Viana de Souza; Luiz Felipe Tenório de Lima Gondim; Priscila Nolasco de Oliveira</v>
      </c>
      <c r="R44">
        <v>5</v>
      </c>
      <c r="S44">
        <v>101</v>
      </c>
      <c r="T44">
        <v>96</v>
      </c>
      <c r="X44" t="s">
        <v>2897</v>
      </c>
      <c r="Y44" s="95" t="s">
        <v>2875</v>
      </c>
      <c r="AA44">
        <v>0</v>
      </c>
    </row>
    <row r="45" spans="1:31" x14ac:dyDescent="0.25">
      <c r="A45">
        <v>2026</v>
      </c>
      <c r="B45" t="str">
        <v>2026-032</v>
      </c>
      <c r="C45" t="str">
        <v>Em andamento</v>
      </c>
      <c r="D45" t="str">
        <v>MROSC para os gestores das Organizações da Sociedade Civil – OSCs</v>
      </c>
      <c r="E45">
        <v>12</v>
      </c>
      <c r="F45" t="str">
        <v>Indio Artiaga do Brasil Rabelo</v>
      </c>
      <c r="G45">
        <v>2</v>
      </c>
      <c r="H45">
        <v>12</v>
      </c>
      <c r="I45">
        <v>3.6</v>
      </c>
      <c r="J45">
        <v>15.6</v>
      </c>
      <c r="L45">
        <v>2026</v>
      </c>
      <c r="M45" t="str">
        <v>2026-054</v>
      </c>
      <c r="N45" t="str">
        <v>A realizar</v>
      </c>
      <c r="O45" t="str">
        <v>Oficina Temática – SEMAT: Falhas recorrentes em contratações de TI</v>
      </c>
      <c r="P45">
        <v>8</v>
      </c>
      <c r="Q45" t="str">
        <v>Felipe da Costa Malaquias</v>
      </c>
      <c r="R45">
        <v>1</v>
      </c>
      <c r="S45">
        <v>102</v>
      </c>
      <c r="T45">
        <v>101</v>
      </c>
      <c r="X45" t="s">
        <v>2898</v>
      </c>
      <c r="Y45" t="s">
        <v>2899</v>
      </c>
      <c r="Z45">
        <v>1</v>
      </c>
      <c r="AA45">
        <v>0.3</v>
      </c>
    </row>
    <row r="46" spans="1:31" x14ac:dyDescent="0.25">
      <c r="A46">
        <v>2026</v>
      </c>
      <c r="B46" t="str">
        <v>2026-032</v>
      </c>
      <c r="C46" t="str">
        <v>Em andamento</v>
      </c>
      <c r="D46" t="str">
        <v>MROSC para os gestores das Organizações da Sociedade Civil – OSCs</v>
      </c>
      <c r="E46">
        <v>12</v>
      </c>
      <c r="F46" t="str">
        <v>Leonardo de Melo</v>
      </c>
      <c r="G46">
        <v>2</v>
      </c>
      <c r="H46">
        <v>0</v>
      </c>
      <c r="I46">
        <v>0</v>
      </c>
      <c r="J46">
        <v>0</v>
      </c>
      <c r="L46">
        <v>2026</v>
      </c>
      <c r="M46" t="str">
        <v>2026-055</v>
      </c>
      <c r="N46" t="str">
        <v>A realizar</v>
      </c>
      <c r="O46" t="str">
        <v>TCendo o Futuro</v>
      </c>
      <c r="P46">
        <v>4</v>
      </c>
      <c r="Q46" t="str">
        <v>Adriana Cuoco Portugal; Cinthia Thais de Carvalho Luz Thomazi; Fernanda Viana de Souza; Luiz Felipe Tenório de Lima Gondim; Priscila Nolasco de Oliveira</v>
      </c>
      <c r="R46">
        <v>5</v>
      </c>
      <c r="S46">
        <v>107</v>
      </c>
      <c r="T46">
        <v>102</v>
      </c>
      <c r="X46" t="s">
        <v>2898</v>
      </c>
      <c r="Y46" t="s">
        <v>2900</v>
      </c>
      <c r="Z46">
        <v>1</v>
      </c>
      <c r="AA46">
        <v>0.3</v>
      </c>
    </row>
    <row r="47" spans="1:31" x14ac:dyDescent="0.25">
      <c r="A47">
        <v>2026</v>
      </c>
      <c r="B47" t="str">
        <v>2026-033</v>
      </c>
      <c r="C47" t="str">
        <v>Realizado</v>
      </c>
      <c r="D47" t="str">
        <v>Introdução à Engenharia de Prompt - T3</v>
      </c>
      <c r="E47">
        <v>8</v>
      </c>
      <c r="F47" t="str">
        <v>Arthur Wú</v>
      </c>
      <c r="G47">
        <v>2</v>
      </c>
      <c r="H47">
        <v>8</v>
      </c>
      <c r="I47">
        <v>2.4</v>
      </c>
      <c r="J47">
        <v>10.4</v>
      </c>
      <c r="L47">
        <v>2026</v>
      </c>
      <c r="M47" t="str">
        <v>2026-056</v>
      </c>
      <c r="N47" t="str">
        <v>A realizar</v>
      </c>
      <c r="O47" t="str">
        <v>TCendo o Futuro</v>
      </c>
      <c r="P47">
        <v>4</v>
      </c>
      <c r="Q47" t="str">
        <v>Adriana Cuoco Portugal; Cinthia Thais de Carvalho Luz Thomazi; Fernanda Viana de Souza; Luiz Felipe Tenório de Lima Gondim; Priscila Nolasco de Oliveira</v>
      </c>
      <c r="R47">
        <v>5</v>
      </c>
      <c r="S47">
        <v>112</v>
      </c>
      <c r="T47">
        <v>107</v>
      </c>
      <c r="X47" t="s">
        <v>2898</v>
      </c>
      <c r="Y47" t="s">
        <v>2901</v>
      </c>
      <c r="Z47">
        <v>1</v>
      </c>
      <c r="AA47">
        <v>0.3</v>
      </c>
    </row>
    <row r="48" spans="1:31" x14ac:dyDescent="0.25">
      <c r="A48">
        <v>2026</v>
      </c>
      <c r="B48" t="str">
        <v>2026-033</v>
      </c>
      <c r="C48" t="str">
        <v>Realizado</v>
      </c>
      <c r="D48" t="str">
        <v>Introdução à Engenharia de Prompt - T3</v>
      </c>
      <c r="E48">
        <v>8</v>
      </c>
      <c r="F48" t="str">
        <v>Gustavo Takahashi</v>
      </c>
      <c r="G48">
        <v>2</v>
      </c>
      <c r="H48">
        <v>8</v>
      </c>
      <c r="I48">
        <v>0</v>
      </c>
      <c r="J48">
        <v>8</v>
      </c>
      <c r="R48" t="str">
        <v/>
      </c>
      <c r="S48" t="str">
        <v/>
      </c>
      <c r="T48">
        <v>112</v>
      </c>
      <c r="X48" t="s">
        <v>2898</v>
      </c>
      <c r="Y48" t="s">
        <v>2902</v>
      </c>
      <c r="Z48">
        <v>1</v>
      </c>
      <c r="AA48">
        <v>0.3</v>
      </c>
    </row>
    <row r="49" spans="1:27" x14ac:dyDescent="0.25">
      <c r="A49">
        <v>2026</v>
      </c>
      <c r="B49" t="str">
        <v>2026-034</v>
      </c>
      <c r="C49" t="str">
        <v>Realizado</v>
      </c>
      <c r="D49" t="str">
        <v>Introdução à Engenharia de Prompt - T4</v>
      </c>
      <c r="E49">
        <v>8</v>
      </c>
      <c r="F49" t="str">
        <v>Arthur Wú</v>
      </c>
      <c r="G49">
        <v>2</v>
      </c>
      <c r="H49">
        <v>8</v>
      </c>
      <c r="I49">
        <v>2.4</v>
      </c>
      <c r="J49">
        <v>10.4</v>
      </c>
      <c r="R49" t="str">
        <v/>
      </c>
      <c r="S49" t="str">
        <v/>
      </c>
      <c r="X49" t="s">
        <v>2898</v>
      </c>
      <c r="Y49" t="s">
        <v>2903</v>
      </c>
      <c r="Z49">
        <v>0</v>
      </c>
      <c r="AA49">
        <v>0</v>
      </c>
    </row>
    <row r="50" spans="1:27" x14ac:dyDescent="0.25">
      <c r="A50">
        <v>2026</v>
      </c>
      <c r="B50" t="str">
        <v>2026-034</v>
      </c>
      <c r="C50" t="str">
        <v>Realizado</v>
      </c>
      <c r="D50" t="str">
        <v>Introdução à Engenharia de Prompt - T4</v>
      </c>
      <c r="E50">
        <v>8</v>
      </c>
      <c r="F50" t="str">
        <v>Gustavo Takahashi</v>
      </c>
      <c r="G50">
        <v>2</v>
      </c>
      <c r="H50">
        <v>8</v>
      </c>
      <c r="I50">
        <v>0</v>
      </c>
      <c r="J50">
        <v>8</v>
      </c>
      <c r="R50" t="str">
        <v/>
      </c>
      <c r="S50" t="str">
        <v/>
      </c>
      <c r="X50" t="s">
        <v>2898</v>
      </c>
      <c r="Y50" t="s">
        <v>935</v>
      </c>
      <c r="Z50">
        <v>1</v>
      </c>
      <c r="AA50">
        <v>0.3</v>
      </c>
    </row>
    <row r="51" spans="1:27" x14ac:dyDescent="0.25">
      <c r="A51">
        <v>2026</v>
      </c>
      <c r="B51" t="str">
        <v>2026-035</v>
      </c>
      <c r="C51" t="str">
        <v>Realizado</v>
      </c>
      <c r="D51" t="str">
        <v>Curso básico de e-TCDF</v>
      </c>
      <c r="E51">
        <v>16</v>
      </c>
      <c r="F51" t="str">
        <v>Cássio Murilo Alves Costa Filho</v>
      </c>
      <c r="G51">
        <v>1</v>
      </c>
      <c r="H51">
        <v>16</v>
      </c>
      <c r="I51">
        <v>4.8</v>
      </c>
      <c r="J51">
        <v>20.8</v>
      </c>
      <c r="R51" t="str">
        <v/>
      </c>
      <c r="S51" t="str">
        <v/>
      </c>
      <c r="X51" t="s">
        <v>2898</v>
      </c>
      <c r="Y51" t="s">
        <v>2904</v>
      </c>
      <c r="Z51">
        <v>1</v>
      </c>
      <c r="AA51">
        <v>0.3</v>
      </c>
    </row>
    <row r="52" spans="1:27" x14ac:dyDescent="0.25">
      <c r="A52">
        <v>2026</v>
      </c>
      <c r="B52" t="str">
        <v>2026-036</v>
      </c>
      <c r="C52" t="str">
        <v>Realizado</v>
      </c>
      <c r="D52" t="str">
        <v>Curso de Ambientação para os novos Auditores de Controle Externo - Área Auditoria</v>
      </c>
      <c r="E52">
        <v>20</v>
      </c>
      <c r="F52" t="str">
        <v>Diversos</v>
      </c>
      <c r="G52">
        <v>1</v>
      </c>
      <c r="H52">
        <v>0</v>
      </c>
      <c r="I52">
        <v>0</v>
      </c>
      <c r="J52">
        <v>0</v>
      </c>
      <c r="R52" t="str">
        <v/>
      </c>
      <c r="S52" t="str">
        <v/>
      </c>
      <c r="X52" t="s">
        <v>2898</v>
      </c>
      <c r="Y52" t="s">
        <v>1343</v>
      </c>
      <c r="Z52">
        <v>1</v>
      </c>
      <c r="AA52">
        <v>0.3</v>
      </c>
    </row>
    <row r="53" spans="1:27" x14ac:dyDescent="0.25">
      <c r="A53">
        <v>2026</v>
      </c>
      <c r="B53" t="str">
        <v>2026-037</v>
      </c>
      <c r="C53" t="str">
        <v>Realizado</v>
      </c>
      <c r="D53" t="str">
        <v>Curso de Formação Inicial para Novos Auditores do TCDF</v>
      </c>
      <c r="E53">
        <v>12</v>
      </c>
      <c r="F53" t="str">
        <v>Cinthia Thais de Carvalho Luz Thomazi</v>
      </c>
      <c r="G53">
        <v>5</v>
      </c>
      <c r="H53">
        <v>4</v>
      </c>
      <c r="I53">
        <v>0.6</v>
      </c>
      <c r="J53">
        <v>4.5999999999999996</v>
      </c>
      <c r="R53" t="str">
        <v/>
      </c>
      <c r="S53" t="str">
        <v/>
      </c>
      <c r="X53" t="s">
        <v>2898</v>
      </c>
      <c r="Y53" t="s">
        <v>2905</v>
      </c>
      <c r="Z53">
        <v>1</v>
      </c>
      <c r="AA53">
        <v>0.3</v>
      </c>
    </row>
    <row r="54" spans="1:27" x14ac:dyDescent="0.25">
      <c r="A54">
        <v>2026</v>
      </c>
      <c r="B54" t="str">
        <v>2026-037</v>
      </c>
      <c r="C54" t="str">
        <v>Realizado</v>
      </c>
      <c r="D54" t="str">
        <v>Curso de Formação Inicial para Novos Auditores do TCDF</v>
      </c>
      <c r="E54">
        <v>12</v>
      </c>
      <c r="F54" t="str">
        <v>Reinaldo Alencar</v>
      </c>
      <c r="G54">
        <v>5</v>
      </c>
      <c r="H54">
        <v>4</v>
      </c>
      <c r="I54">
        <v>0.6</v>
      </c>
      <c r="J54">
        <v>4.5999999999999996</v>
      </c>
      <c r="R54" t="str">
        <v/>
      </c>
      <c r="S54" t="str">
        <v/>
      </c>
      <c r="X54" t="s">
        <v>2898</v>
      </c>
      <c r="Y54" t="s">
        <v>2906</v>
      </c>
      <c r="Z54">
        <v>0</v>
      </c>
      <c r="AA54">
        <v>0</v>
      </c>
    </row>
    <row r="55" spans="1:27" x14ac:dyDescent="0.25">
      <c r="A55">
        <v>2026</v>
      </c>
      <c r="B55" t="str">
        <v>2026-037</v>
      </c>
      <c r="C55" t="str">
        <v>Realizado</v>
      </c>
      <c r="D55" t="str">
        <v>Curso de Formação Inicial para Novos Auditores do TCDF</v>
      </c>
      <c r="E55">
        <v>12</v>
      </c>
      <c r="F55" t="str">
        <v>Rogério Ribeiro</v>
      </c>
      <c r="G55">
        <v>5</v>
      </c>
      <c r="H55">
        <v>4</v>
      </c>
      <c r="I55">
        <v>0.6</v>
      </c>
      <c r="J55">
        <v>4.5999999999999996</v>
      </c>
      <c r="R55" t="str">
        <v/>
      </c>
      <c r="S55" t="str">
        <v/>
      </c>
    </row>
    <row r="56" spans="1:27" x14ac:dyDescent="0.25">
      <c r="A56">
        <v>2026</v>
      </c>
      <c r="B56" t="str">
        <v>2026-037</v>
      </c>
      <c r="C56" t="str">
        <v>Realizado</v>
      </c>
      <c r="D56" t="str">
        <v>Curso de Formação Inicial para Novos Auditores do TCDF</v>
      </c>
      <c r="E56">
        <v>12</v>
      </c>
      <c r="F56" t="str">
        <v>Rômulo Miranda Alvim</v>
      </c>
      <c r="G56">
        <v>5</v>
      </c>
      <c r="H56">
        <v>4</v>
      </c>
      <c r="I56">
        <v>0.6</v>
      </c>
      <c r="J56">
        <v>4.5999999999999996</v>
      </c>
      <c r="R56" t="str">
        <v/>
      </c>
      <c r="S56" t="str">
        <v/>
      </c>
    </row>
    <row r="57" spans="1:27" x14ac:dyDescent="0.25">
      <c r="A57">
        <v>2026</v>
      </c>
      <c r="B57" t="str">
        <v>2026-037</v>
      </c>
      <c r="C57" t="str">
        <v>Realizado</v>
      </c>
      <c r="D57" t="str">
        <v>Curso de Formação Inicial para Novos Auditores do TCDF</v>
      </c>
      <c r="E57">
        <v>12</v>
      </c>
      <c r="F57" t="str">
        <v>Gabriel Heller</v>
      </c>
      <c r="G57">
        <v>5</v>
      </c>
      <c r="H57">
        <v>4</v>
      </c>
      <c r="I57">
        <v>1.2</v>
      </c>
      <c r="J57">
        <v>5.2</v>
      </c>
      <c r="R57" t="str">
        <v/>
      </c>
      <c r="S57" t="str">
        <v/>
      </c>
    </row>
    <row r="58" spans="1:27" x14ac:dyDescent="0.25">
      <c r="A58">
        <v>2026</v>
      </c>
      <c r="B58" t="str">
        <v>2026-038</v>
      </c>
      <c r="C58" t="str">
        <v>A realizar</v>
      </c>
      <c r="D58" t="str">
        <v>Elaboração da Cartilha "Gestão e Fiscalização de Contratos em Saúde"</v>
      </c>
      <c r="E58">
        <v>85</v>
      </c>
      <c r="F58" t="str">
        <v>Tarsila Firmino Ely</v>
      </c>
      <c r="G58">
        <v>2</v>
      </c>
      <c r="H58">
        <v>0</v>
      </c>
      <c r="I58">
        <v>85</v>
      </c>
      <c r="J58">
        <v>85</v>
      </c>
      <c r="R58" t="str">
        <v/>
      </c>
      <c r="S58" t="str">
        <v/>
      </c>
    </row>
    <row r="59" spans="1:27" x14ac:dyDescent="0.25">
      <c r="A59">
        <v>2026</v>
      </c>
      <c r="B59" t="str">
        <v>2026-038</v>
      </c>
      <c r="C59" t="str">
        <v>A realizar</v>
      </c>
      <c r="D59" t="str">
        <v>Elaboração da Cartilha "Gestão e Fiscalização de Contratos em Saúde"</v>
      </c>
      <c r="E59">
        <v>85</v>
      </c>
      <c r="F59" t="str">
        <v>Luciana Alvim</v>
      </c>
      <c r="G59">
        <v>2</v>
      </c>
      <c r="H59">
        <v>0</v>
      </c>
      <c r="I59">
        <v>85</v>
      </c>
      <c r="J59">
        <v>85</v>
      </c>
      <c r="R59" t="str">
        <v/>
      </c>
      <c r="S59" t="str">
        <v/>
      </c>
    </row>
    <row r="60" spans="1:27" x14ac:dyDescent="0.25">
      <c r="A60">
        <v>2026</v>
      </c>
      <c r="B60" t="str">
        <v>2026-039</v>
      </c>
      <c r="C60" t="str">
        <v>A realizar</v>
      </c>
      <c r="D60" t="str">
        <v>Curso de Formação para Conselheiros de Saúde do DF</v>
      </c>
      <c r="E60">
        <v>20</v>
      </c>
      <c r="F60" t="str">
        <v>Tarsila Firmino Ely</v>
      </c>
      <c r="G60">
        <v>1</v>
      </c>
      <c r="H60">
        <v>20</v>
      </c>
      <c r="I60">
        <v>6</v>
      </c>
      <c r="J60">
        <v>26</v>
      </c>
      <c r="R60" t="str">
        <v/>
      </c>
      <c r="S60" t="str">
        <v/>
      </c>
    </row>
    <row r="61" spans="1:27" x14ac:dyDescent="0.25">
      <c r="A61">
        <v>2026</v>
      </c>
      <c r="B61" t="str">
        <v>2026-040</v>
      </c>
      <c r="C61" t="str">
        <v>Realizado</v>
      </c>
      <c r="D61" t="str">
        <v>UniTCDF: TCDF e a Fiscalização de Obras</v>
      </c>
      <c r="E61">
        <v>4</v>
      </c>
      <c r="F61" t="str">
        <v>Adriana Cuoco Portugal</v>
      </c>
      <c r="G61">
        <v>1</v>
      </c>
      <c r="H61">
        <v>4</v>
      </c>
      <c r="I61">
        <v>1.2</v>
      </c>
      <c r="J61">
        <v>5.2</v>
      </c>
      <c r="R61" t="str">
        <v/>
      </c>
      <c r="S61" t="str">
        <v/>
      </c>
    </row>
    <row r="62" spans="1:27" x14ac:dyDescent="0.25">
      <c r="A62">
        <v>2026</v>
      </c>
      <c r="B62" t="str">
        <v>2026-041</v>
      </c>
      <c r="C62" t="str">
        <v>Realizado</v>
      </c>
      <c r="D62" t="str">
        <v>UniTCDF: Ciências Contábeis</v>
      </c>
      <c r="E62">
        <v>3</v>
      </c>
      <c r="F62" t="str">
        <v>Fernanda Viana de Souza</v>
      </c>
      <c r="G62">
        <v>2</v>
      </c>
      <c r="H62">
        <v>3</v>
      </c>
      <c r="I62">
        <v>0.44999999999999996</v>
      </c>
      <c r="J62">
        <v>3.45</v>
      </c>
      <c r="R62" t="str">
        <v/>
      </c>
      <c r="S62" t="str">
        <v/>
      </c>
    </row>
    <row r="63" spans="1:27" x14ac:dyDescent="0.25">
      <c r="A63">
        <v>2026</v>
      </c>
      <c r="B63" t="str">
        <v>2026-041</v>
      </c>
      <c r="C63" t="str">
        <v>Realizado</v>
      </c>
      <c r="D63" t="str">
        <v>UniTCDF: Ciências Contábeis</v>
      </c>
      <c r="E63">
        <v>3</v>
      </c>
      <c r="F63" t="str">
        <v>Túllio Herbeth Teixeira Moraes</v>
      </c>
      <c r="G63">
        <v>2</v>
      </c>
      <c r="H63">
        <v>3</v>
      </c>
      <c r="I63">
        <v>0.44999999999999996</v>
      </c>
      <c r="J63">
        <v>3.45</v>
      </c>
      <c r="R63" t="str">
        <v/>
      </c>
      <c r="S63" t="str">
        <v/>
      </c>
    </row>
    <row r="64" spans="1:27" x14ac:dyDescent="0.25">
      <c r="A64">
        <v>2026</v>
      </c>
      <c r="B64" t="str">
        <v>2026-042</v>
      </c>
      <c r="C64" t="str">
        <v>A realizar</v>
      </c>
      <c r="D64" t="str">
        <v>Introdução ao processo de controle externo - EAD</v>
      </c>
      <c r="E64">
        <v>16</v>
      </c>
      <c r="F64" t="str">
        <v>Gabriel Heller</v>
      </c>
      <c r="G64">
        <v>1</v>
      </c>
      <c r="H64">
        <v>0</v>
      </c>
      <c r="I64">
        <v>32</v>
      </c>
      <c r="J64">
        <v>32</v>
      </c>
      <c r="R64" t="str">
        <v/>
      </c>
      <c r="S64" t="str">
        <v/>
      </c>
    </row>
    <row r="65" spans="1:19" x14ac:dyDescent="0.25">
      <c r="A65">
        <v>2026</v>
      </c>
      <c r="B65" t="str">
        <v>2026-044</v>
      </c>
      <c r="C65" t="str">
        <v>A realizar</v>
      </c>
      <c r="D65" t="str">
        <v>Painel MROSC</v>
      </c>
      <c r="E65">
        <v>4</v>
      </c>
      <c r="F65" t="str">
        <v>Diversos</v>
      </c>
      <c r="G65">
        <v>1</v>
      </c>
      <c r="H65">
        <v>0</v>
      </c>
      <c r="I65">
        <v>0</v>
      </c>
      <c r="J65">
        <v>0</v>
      </c>
      <c r="R65" t="str">
        <v/>
      </c>
      <c r="S65" t="str">
        <v/>
      </c>
    </row>
    <row r="66" spans="1:19" x14ac:dyDescent="0.25">
      <c r="A66">
        <v>2026</v>
      </c>
      <c r="B66" t="str">
        <v>2026-045</v>
      </c>
      <c r="C66" t="str">
        <v>A realizar</v>
      </c>
      <c r="D66" t="str">
        <v>31º SEMAT</v>
      </c>
      <c r="E66">
        <v>8</v>
      </c>
      <c r="F66" t="str">
        <v>José Roberto Alcuri Júnior</v>
      </c>
      <c r="G66">
        <v>10</v>
      </c>
      <c r="H66">
        <v>1</v>
      </c>
      <c r="I66">
        <v>0.3</v>
      </c>
      <c r="J66">
        <v>1.3</v>
      </c>
      <c r="R66" t="str">
        <v/>
      </c>
      <c r="S66" t="str">
        <v/>
      </c>
    </row>
    <row r="67" spans="1:19" x14ac:dyDescent="0.25">
      <c r="A67">
        <v>2026</v>
      </c>
      <c r="B67" t="str">
        <v>2026-045</v>
      </c>
      <c r="C67" t="str">
        <v>A realizar</v>
      </c>
      <c r="D67" t="str">
        <v>31º SEMAT</v>
      </c>
      <c r="E67">
        <v>8</v>
      </c>
      <c r="F67" t="str">
        <v>Felipe Ramos Barbosa</v>
      </c>
      <c r="G67">
        <v>10</v>
      </c>
      <c r="H67">
        <v>1</v>
      </c>
      <c r="I67">
        <v>0.3</v>
      </c>
      <c r="J67">
        <v>1.3</v>
      </c>
      <c r="R67" t="str">
        <v/>
      </c>
      <c r="S67" t="str">
        <v/>
      </c>
    </row>
    <row r="68" spans="1:19" x14ac:dyDescent="0.25">
      <c r="A68">
        <v>2026</v>
      </c>
      <c r="B68" t="str">
        <v>2026-045</v>
      </c>
      <c r="C68" t="str">
        <v>A realizar</v>
      </c>
      <c r="D68" t="str">
        <v>31º SEMAT</v>
      </c>
      <c r="E68">
        <v>8</v>
      </c>
      <c r="F68" t="str">
        <v>Carolina Pereira de Oliveira</v>
      </c>
      <c r="G68">
        <v>10</v>
      </c>
      <c r="H68">
        <v>1</v>
      </c>
      <c r="I68">
        <v>0.3</v>
      </c>
      <c r="J68">
        <v>1.3</v>
      </c>
      <c r="R68" t="str">
        <v/>
      </c>
      <c r="S68" t="str">
        <v/>
      </c>
    </row>
    <row r="69" spans="1:19" x14ac:dyDescent="0.25">
      <c r="A69">
        <v>2026</v>
      </c>
      <c r="B69" t="str">
        <v>2026-045</v>
      </c>
      <c r="C69" t="str">
        <v>A realizar</v>
      </c>
      <c r="D69" t="str">
        <v>31º SEMAT</v>
      </c>
      <c r="E69">
        <v>8</v>
      </c>
      <c r="F69" t="str">
        <v>Eustáquio Rabelo de Souza</v>
      </c>
      <c r="G69">
        <v>10</v>
      </c>
      <c r="H69">
        <v>1</v>
      </c>
      <c r="I69">
        <v>0.3</v>
      </c>
      <c r="J69">
        <v>1.3</v>
      </c>
      <c r="R69" t="str">
        <v/>
      </c>
      <c r="S69" t="str">
        <v/>
      </c>
    </row>
    <row r="70" spans="1:19" x14ac:dyDescent="0.25">
      <c r="A70">
        <v>2026</v>
      </c>
      <c r="B70" t="str">
        <v>2026-045</v>
      </c>
      <c r="C70" t="str">
        <v>A realizar</v>
      </c>
      <c r="D70" t="str">
        <v>31º SEMAT</v>
      </c>
      <c r="E70">
        <v>8</v>
      </c>
      <c r="F70" t="str">
        <v>Alinne Patrícia de Andrade Carvalho</v>
      </c>
      <c r="G70">
        <v>10</v>
      </c>
      <c r="H70">
        <v>0</v>
      </c>
      <c r="I70">
        <v>0</v>
      </c>
      <c r="J70">
        <v>0</v>
      </c>
      <c r="R70" t="str">
        <v/>
      </c>
      <c r="S70" t="str">
        <v/>
      </c>
    </row>
    <row r="71" spans="1:19" x14ac:dyDescent="0.25">
      <c r="A71">
        <v>2026</v>
      </c>
      <c r="B71" t="str">
        <v>2026-045</v>
      </c>
      <c r="C71" t="str">
        <v>A realizar</v>
      </c>
      <c r="D71" t="str">
        <v>31º SEMAT</v>
      </c>
      <c r="E71">
        <v>8</v>
      </c>
      <c r="F71" t="str">
        <v>Silvia Lima Damasceno Carvalho</v>
      </c>
      <c r="G71">
        <v>10</v>
      </c>
      <c r="H71">
        <v>1</v>
      </c>
      <c r="I71">
        <v>0.3</v>
      </c>
      <c r="J71">
        <v>1.3</v>
      </c>
      <c r="R71" t="str">
        <v/>
      </c>
      <c r="S71" t="str">
        <v/>
      </c>
    </row>
    <row r="72" spans="1:19" x14ac:dyDescent="0.25">
      <c r="A72">
        <v>2026</v>
      </c>
      <c r="B72" t="str">
        <v>2026-045</v>
      </c>
      <c r="C72" t="str">
        <v>A realizar</v>
      </c>
      <c r="D72" t="str">
        <v>31º SEMAT</v>
      </c>
      <c r="E72">
        <v>8</v>
      </c>
      <c r="F72" t="str">
        <v>Marcelo Santana</v>
      </c>
      <c r="G72">
        <v>10</v>
      </c>
      <c r="H72">
        <v>1</v>
      </c>
      <c r="I72">
        <v>0.3</v>
      </c>
      <c r="J72">
        <v>1.3</v>
      </c>
      <c r="R72" t="str">
        <v/>
      </c>
      <c r="S72" t="str">
        <v/>
      </c>
    </row>
    <row r="73" spans="1:19" x14ac:dyDescent="0.25">
      <c r="A73">
        <v>2026</v>
      </c>
      <c r="B73" t="str">
        <v>2026-045</v>
      </c>
      <c r="C73" t="str">
        <v>A realizar</v>
      </c>
      <c r="D73" t="str">
        <v>31º SEMAT</v>
      </c>
      <c r="E73">
        <v>8</v>
      </c>
      <c r="F73" t="str">
        <v>Cinthia Thais de Carvalho Luz Thomazi</v>
      </c>
      <c r="G73">
        <v>10</v>
      </c>
      <c r="H73">
        <v>1</v>
      </c>
      <c r="I73">
        <v>0.3</v>
      </c>
      <c r="J73">
        <v>1.3</v>
      </c>
      <c r="R73" t="str">
        <v/>
      </c>
      <c r="S73" t="str">
        <v/>
      </c>
    </row>
    <row r="74" spans="1:19" x14ac:dyDescent="0.25">
      <c r="A74">
        <v>2026</v>
      </c>
      <c r="B74" t="str">
        <v>2026-045</v>
      </c>
      <c r="C74" t="str">
        <v>A realizar</v>
      </c>
      <c r="D74" t="str">
        <v>31º SEMAT</v>
      </c>
      <c r="E74">
        <v>8</v>
      </c>
      <c r="F74" t="str">
        <v>Igor Queiroz</v>
      </c>
      <c r="G74">
        <v>10</v>
      </c>
      <c r="H74">
        <v>1</v>
      </c>
      <c r="I74">
        <v>0.3</v>
      </c>
      <c r="J74">
        <v>1.3</v>
      </c>
      <c r="R74" t="str">
        <v/>
      </c>
      <c r="S74" t="str">
        <v/>
      </c>
    </row>
    <row r="75" spans="1:19" x14ac:dyDescent="0.25">
      <c r="A75">
        <v>2026</v>
      </c>
      <c r="B75" t="str">
        <v>2026-045</v>
      </c>
      <c r="C75" t="str">
        <v>A realizar</v>
      </c>
      <c r="D75" t="str">
        <v>31º SEMAT</v>
      </c>
      <c r="E75">
        <v>8</v>
      </c>
      <c r="F75" t="str">
        <v>Guilherme Bride Fernandes</v>
      </c>
      <c r="G75">
        <v>10</v>
      </c>
      <c r="H75">
        <v>0</v>
      </c>
      <c r="I75">
        <v>0</v>
      </c>
      <c r="J75">
        <v>0</v>
      </c>
      <c r="R75" t="str">
        <v/>
      </c>
      <c r="S75" t="str">
        <v/>
      </c>
    </row>
    <row r="76" spans="1:19" x14ac:dyDescent="0.25">
      <c r="A76">
        <v>2026</v>
      </c>
      <c r="B76" t="str">
        <v>2026-046</v>
      </c>
      <c r="C76" t="str">
        <v>Realizado</v>
      </c>
      <c r="D76" t="str">
        <v>Curso “Sisaudit na Prática”</v>
      </c>
      <c r="E76">
        <v>12</v>
      </c>
      <c r="F76" t="str">
        <v>Davi Assunção Salvador Nery de Castro</v>
      </c>
      <c r="G76">
        <v>3</v>
      </c>
      <c r="H76">
        <v>12</v>
      </c>
      <c r="I76">
        <v>1.2</v>
      </c>
      <c r="J76">
        <v>13.2</v>
      </c>
      <c r="R76" t="str">
        <v/>
      </c>
      <c r="S76" t="str">
        <v/>
      </c>
    </row>
    <row r="77" spans="1:19" x14ac:dyDescent="0.25">
      <c r="A77">
        <v>2026</v>
      </c>
      <c r="B77" t="str">
        <v>2026-046</v>
      </c>
      <c r="C77" t="str">
        <v>Realizado</v>
      </c>
      <c r="D77" t="str">
        <v>Curso “Sisaudit na Prática”</v>
      </c>
      <c r="E77">
        <v>12</v>
      </c>
      <c r="F77" t="str">
        <v>David da Silva de Araújo</v>
      </c>
      <c r="G77">
        <v>3</v>
      </c>
      <c r="H77">
        <v>12</v>
      </c>
      <c r="I77">
        <v>1.2</v>
      </c>
      <c r="J77">
        <v>13.2</v>
      </c>
      <c r="R77" t="str">
        <v/>
      </c>
      <c r="S77" t="str">
        <v/>
      </c>
    </row>
    <row r="78" spans="1:19" x14ac:dyDescent="0.25">
      <c r="A78">
        <v>2026</v>
      </c>
      <c r="B78" t="str">
        <v>2026-046</v>
      </c>
      <c r="C78" t="str">
        <v>Realizado</v>
      </c>
      <c r="D78" t="str">
        <v>Curso “Sisaudit na Prática”</v>
      </c>
      <c r="E78">
        <v>12</v>
      </c>
      <c r="F78" t="str">
        <v>Hamilton de Jesus Lopes Neto</v>
      </c>
      <c r="G78">
        <v>3</v>
      </c>
      <c r="H78">
        <v>12</v>
      </c>
      <c r="I78">
        <v>1.2</v>
      </c>
      <c r="J78">
        <v>13.2</v>
      </c>
      <c r="R78" t="str">
        <v/>
      </c>
      <c r="S78" t="str">
        <v/>
      </c>
    </row>
    <row r="79" spans="1:19" x14ac:dyDescent="0.25">
      <c r="A79">
        <v>2026</v>
      </c>
      <c r="B79" t="str">
        <v>2026-047</v>
      </c>
      <c r="C79" t="str">
        <v>A realizar</v>
      </c>
      <c r="D79" t="str">
        <v>Contratações de TIC com base na jurisprudência do TCDF - EAD</v>
      </c>
      <c r="E79">
        <v>17.45</v>
      </c>
      <c r="F79" t="str">
        <v>Flávio José Fonseca de Souza</v>
      </c>
      <c r="G79">
        <v>2</v>
      </c>
      <c r="H79">
        <v>0</v>
      </c>
      <c r="I79">
        <v>34.9</v>
      </c>
      <c r="J79">
        <v>34.9</v>
      </c>
      <c r="R79" t="str">
        <v/>
      </c>
      <c r="S79" t="str">
        <v/>
      </c>
    </row>
    <row r="80" spans="1:19" x14ac:dyDescent="0.25">
      <c r="A80">
        <v>2026</v>
      </c>
      <c r="B80" t="str">
        <v>2026-047</v>
      </c>
      <c r="C80" t="str">
        <v>A realizar</v>
      </c>
      <c r="D80" t="str">
        <v>Contratações de TIC com base na jurisprudência do TCDF - EAD</v>
      </c>
      <c r="E80">
        <v>17.45</v>
      </c>
      <c r="F80" t="str">
        <v>Felipe da Costa Malaquias</v>
      </c>
      <c r="G80">
        <v>2</v>
      </c>
      <c r="H80">
        <v>0</v>
      </c>
      <c r="I80">
        <v>34.9</v>
      </c>
      <c r="J80">
        <v>34.9</v>
      </c>
      <c r="R80" t="str">
        <v/>
      </c>
      <c r="S80" t="str">
        <v/>
      </c>
    </row>
    <row r="81" spans="1:19" x14ac:dyDescent="0.25">
      <c r="A81">
        <v>2026</v>
      </c>
      <c r="B81" t="str">
        <v>2026-048</v>
      </c>
      <c r="C81" t="str">
        <v>Em andamento</v>
      </c>
      <c r="D81" t="str">
        <v>Introdução à Engenharia de Prompt - SEE</v>
      </c>
      <c r="E81">
        <v>8</v>
      </c>
      <c r="F81" t="str">
        <v>Arthur Wú</v>
      </c>
      <c r="G81">
        <v>2</v>
      </c>
      <c r="H81">
        <v>8</v>
      </c>
      <c r="I81">
        <v>2.4</v>
      </c>
      <c r="J81">
        <v>10.4</v>
      </c>
      <c r="R81" t="str">
        <v/>
      </c>
      <c r="S81" t="str">
        <v/>
      </c>
    </row>
    <row r="82" spans="1:19" x14ac:dyDescent="0.25">
      <c r="A82">
        <v>2026</v>
      </c>
      <c r="B82" t="str">
        <v>2026-048</v>
      </c>
      <c r="C82" t="str">
        <v>Em andamento</v>
      </c>
      <c r="D82" t="str">
        <v>Introdução à Engenharia de Prompt - SEE</v>
      </c>
      <c r="E82">
        <v>8</v>
      </c>
      <c r="F82" t="str">
        <v>Gustavo Takahashi</v>
      </c>
      <c r="G82">
        <v>2</v>
      </c>
      <c r="H82">
        <v>8</v>
      </c>
      <c r="I82">
        <v>0</v>
      </c>
      <c r="J82">
        <v>8</v>
      </c>
      <c r="R82" t="str">
        <v/>
      </c>
      <c r="S82" t="str">
        <v/>
      </c>
    </row>
    <row r="83" spans="1:19" x14ac:dyDescent="0.25">
      <c r="A83">
        <v>2026</v>
      </c>
      <c r="B83" t="str">
        <v>2026-049</v>
      </c>
      <c r="C83" t="str">
        <v>A realizar</v>
      </c>
      <c r="D83" t="str">
        <v>TCendo o Futuro</v>
      </c>
      <c r="E83">
        <v>4</v>
      </c>
      <c r="F83" t="str">
        <v>Adriana Cuoco Portugal</v>
      </c>
      <c r="G83">
        <v>5</v>
      </c>
      <c r="H83">
        <v>4</v>
      </c>
      <c r="I83">
        <v>0.24</v>
      </c>
      <c r="J83">
        <v>4.24</v>
      </c>
      <c r="R83" t="str">
        <v/>
      </c>
      <c r="S83" t="str">
        <v/>
      </c>
    </row>
    <row r="84" spans="1:19" x14ac:dyDescent="0.25">
      <c r="A84">
        <v>2026</v>
      </c>
      <c r="B84" t="str">
        <v>2026-049</v>
      </c>
      <c r="C84" t="str">
        <v>A realizar</v>
      </c>
      <c r="D84" t="str">
        <v>TCendo o Futuro</v>
      </c>
      <c r="E84">
        <v>4</v>
      </c>
      <c r="F84" t="str">
        <v>Cinthia Thais de Carvalho Luz Thomazi</v>
      </c>
      <c r="G84">
        <v>5</v>
      </c>
      <c r="H84">
        <v>4</v>
      </c>
      <c r="I84">
        <v>0.24</v>
      </c>
      <c r="J84">
        <v>4.24</v>
      </c>
      <c r="R84" t="str">
        <v/>
      </c>
      <c r="S84" t="str">
        <v/>
      </c>
    </row>
    <row r="85" spans="1:19" x14ac:dyDescent="0.25">
      <c r="A85">
        <v>2026</v>
      </c>
      <c r="B85" t="str">
        <v>2026-049</v>
      </c>
      <c r="C85" t="str">
        <v>A realizar</v>
      </c>
      <c r="D85" t="str">
        <v>TCendo o Futuro</v>
      </c>
      <c r="E85">
        <v>4</v>
      </c>
      <c r="F85" t="str">
        <v>Fernanda Viana de Souza</v>
      </c>
      <c r="G85">
        <v>5</v>
      </c>
      <c r="H85">
        <v>4</v>
      </c>
      <c r="I85">
        <v>0.24</v>
      </c>
      <c r="J85">
        <v>4.24</v>
      </c>
      <c r="R85" t="str">
        <v/>
      </c>
      <c r="S85" t="str">
        <v/>
      </c>
    </row>
    <row r="86" spans="1:19" x14ac:dyDescent="0.25">
      <c r="A86">
        <v>2026</v>
      </c>
      <c r="B86" t="str">
        <v>2026-049</v>
      </c>
      <c r="C86" t="str">
        <v>A realizar</v>
      </c>
      <c r="D86" t="str">
        <v>TCendo o Futuro</v>
      </c>
      <c r="E86">
        <v>4</v>
      </c>
      <c r="F86" t="str">
        <v>Luiz Felipe Tenório de Lima Gondim</v>
      </c>
      <c r="G86">
        <v>5</v>
      </c>
      <c r="H86">
        <v>4</v>
      </c>
      <c r="I86">
        <v>0.24</v>
      </c>
      <c r="J86">
        <v>4.24</v>
      </c>
      <c r="R86" t="str">
        <v/>
      </c>
      <c r="S86" t="str">
        <v/>
      </c>
    </row>
    <row r="87" spans="1:19" x14ac:dyDescent="0.25">
      <c r="A87">
        <v>2026</v>
      </c>
      <c r="B87" t="str">
        <v>2026-049</v>
      </c>
      <c r="C87" t="str">
        <v>A realizar</v>
      </c>
      <c r="D87" t="str">
        <v>TCendo o Futuro</v>
      </c>
      <c r="E87">
        <v>4</v>
      </c>
      <c r="F87" t="str">
        <v>Priscila Nolasco de Oliveira</v>
      </c>
      <c r="G87">
        <v>5</v>
      </c>
      <c r="H87">
        <v>4</v>
      </c>
      <c r="I87">
        <v>0.24</v>
      </c>
      <c r="J87">
        <v>4.24</v>
      </c>
      <c r="R87" t="str">
        <v/>
      </c>
      <c r="S87" t="str">
        <v/>
      </c>
    </row>
    <row r="88" spans="1:19" x14ac:dyDescent="0.25">
      <c r="A88">
        <v>2026</v>
      </c>
      <c r="B88" t="str">
        <v>2026-050</v>
      </c>
      <c r="C88" t="str">
        <v>A realizar</v>
      </c>
      <c r="D88" t="str">
        <v>TCendo o Futuro</v>
      </c>
      <c r="E88">
        <v>4</v>
      </c>
      <c r="F88" t="str">
        <v>Adriana Cuoco Portugal</v>
      </c>
      <c r="G88">
        <v>5</v>
      </c>
      <c r="H88">
        <v>4</v>
      </c>
      <c r="I88">
        <v>0.24</v>
      </c>
      <c r="J88">
        <v>4.24</v>
      </c>
      <c r="R88" t="str">
        <v/>
      </c>
      <c r="S88" t="str">
        <v/>
      </c>
    </row>
    <row r="89" spans="1:19" x14ac:dyDescent="0.25">
      <c r="A89">
        <v>2026</v>
      </c>
      <c r="B89" t="str">
        <v>2026-050</v>
      </c>
      <c r="C89" t="str">
        <v>A realizar</v>
      </c>
      <c r="D89" t="str">
        <v>TCendo o Futuro</v>
      </c>
      <c r="E89">
        <v>4</v>
      </c>
      <c r="F89" t="str">
        <v>Cinthia Thais de Carvalho Luz Thomazi</v>
      </c>
      <c r="G89">
        <v>5</v>
      </c>
      <c r="H89">
        <v>4</v>
      </c>
      <c r="I89">
        <v>0.24</v>
      </c>
      <c r="J89">
        <v>4.24</v>
      </c>
      <c r="R89" t="str">
        <v/>
      </c>
      <c r="S89" t="str">
        <v/>
      </c>
    </row>
    <row r="90" spans="1:19" x14ac:dyDescent="0.25">
      <c r="A90">
        <v>2026</v>
      </c>
      <c r="B90" t="str">
        <v>2026-050</v>
      </c>
      <c r="C90" t="str">
        <v>A realizar</v>
      </c>
      <c r="D90" t="str">
        <v>TCendo o Futuro</v>
      </c>
      <c r="E90">
        <v>4</v>
      </c>
      <c r="F90" t="str">
        <v>Fernanda Viana de Souza</v>
      </c>
      <c r="G90">
        <v>5</v>
      </c>
      <c r="H90">
        <v>4</v>
      </c>
      <c r="I90">
        <v>0.24</v>
      </c>
      <c r="J90">
        <v>4.24</v>
      </c>
      <c r="R90" t="str">
        <v/>
      </c>
      <c r="S90" t="str">
        <v/>
      </c>
    </row>
    <row r="91" spans="1:19" x14ac:dyDescent="0.25">
      <c r="A91">
        <v>2026</v>
      </c>
      <c r="B91" t="str">
        <v>2026-050</v>
      </c>
      <c r="C91" t="str">
        <v>A realizar</v>
      </c>
      <c r="D91" t="str">
        <v>TCendo o Futuro</v>
      </c>
      <c r="E91">
        <v>4</v>
      </c>
      <c r="F91" t="str">
        <v>Luiz Felipe Tenório de Lima Gondim</v>
      </c>
      <c r="G91">
        <v>5</v>
      </c>
      <c r="H91">
        <v>4</v>
      </c>
      <c r="I91">
        <v>0.24</v>
      </c>
      <c r="J91">
        <v>4.24</v>
      </c>
      <c r="R91" t="str">
        <v/>
      </c>
      <c r="S91" t="str">
        <v/>
      </c>
    </row>
    <row r="92" spans="1:19" x14ac:dyDescent="0.25">
      <c r="A92">
        <v>2026</v>
      </c>
      <c r="B92" t="str">
        <v>2026-050</v>
      </c>
      <c r="C92" t="str">
        <v>A realizar</v>
      </c>
      <c r="D92" t="str">
        <v>TCendo o Futuro</v>
      </c>
      <c r="E92">
        <v>4</v>
      </c>
      <c r="F92" t="str">
        <v>Priscila Nolasco de Oliveira</v>
      </c>
      <c r="G92">
        <v>5</v>
      </c>
      <c r="H92">
        <v>4</v>
      </c>
      <c r="I92">
        <v>0.24</v>
      </c>
      <c r="J92">
        <v>4.24</v>
      </c>
      <c r="R92" t="str">
        <v/>
      </c>
      <c r="S92" t="str">
        <v/>
      </c>
    </row>
    <row r="93" spans="1:19" x14ac:dyDescent="0.25">
      <c r="A93">
        <v>2026</v>
      </c>
      <c r="B93" t="str">
        <v>2026-051</v>
      </c>
      <c r="C93" t="str">
        <v>A realizar</v>
      </c>
      <c r="D93" t="str">
        <v>TCendo o Futuro</v>
      </c>
      <c r="E93">
        <v>4</v>
      </c>
      <c r="F93" t="str">
        <v>Adriana Cuoco Portugal</v>
      </c>
      <c r="G93">
        <v>5</v>
      </c>
      <c r="H93">
        <v>4</v>
      </c>
      <c r="I93">
        <v>0.24</v>
      </c>
      <c r="J93">
        <v>4.24</v>
      </c>
      <c r="R93" t="str">
        <v/>
      </c>
      <c r="S93" t="str">
        <v/>
      </c>
    </row>
    <row r="94" spans="1:19" x14ac:dyDescent="0.25">
      <c r="A94">
        <v>2026</v>
      </c>
      <c r="B94" t="str">
        <v>2026-051</v>
      </c>
      <c r="C94" t="str">
        <v>A realizar</v>
      </c>
      <c r="D94" t="str">
        <v>TCendo o Futuro</v>
      </c>
      <c r="E94">
        <v>4</v>
      </c>
      <c r="F94" t="str">
        <v>Cinthia Thais de Carvalho Luz Thomazi</v>
      </c>
      <c r="G94">
        <v>5</v>
      </c>
      <c r="H94">
        <v>4</v>
      </c>
      <c r="I94">
        <v>0.24</v>
      </c>
      <c r="J94">
        <v>4.24</v>
      </c>
      <c r="R94" t="str">
        <v/>
      </c>
      <c r="S94" t="str">
        <v/>
      </c>
    </row>
    <row r="95" spans="1:19" x14ac:dyDescent="0.25">
      <c r="A95">
        <v>2026</v>
      </c>
      <c r="B95" t="str">
        <v>2026-051</v>
      </c>
      <c r="C95" t="str">
        <v>A realizar</v>
      </c>
      <c r="D95" t="str">
        <v>TCendo o Futuro</v>
      </c>
      <c r="E95">
        <v>4</v>
      </c>
      <c r="F95" t="str">
        <v>Fernanda Viana de Souza</v>
      </c>
      <c r="G95">
        <v>5</v>
      </c>
      <c r="H95">
        <v>4</v>
      </c>
      <c r="I95">
        <v>0.24</v>
      </c>
      <c r="J95">
        <v>4.24</v>
      </c>
      <c r="R95" t="str">
        <v/>
      </c>
      <c r="S95" t="str">
        <v/>
      </c>
    </row>
    <row r="96" spans="1:19" x14ac:dyDescent="0.25">
      <c r="A96">
        <v>2026</v>
      </c>
      <c r="B96" t="str">
        <v>2026-051</v>
      </c>
      <c r="C96" t="str">
        <v>A realizar</v>
      </c>
      <c r="D96" t="str">
        <v>TCendo o Futuro</v>
      </c>
      <c r="E96">
        <v>4</v>
      </c>
      <c r="F96" t="str">
        <v>Luiz Felipe Tenório de Lima Gondim</v>
      </c>
      <c r="G96">
        <v>5</v>
      </c>
      <c r="H96">
        <v>4</v>
      </c>
      <c r="I96">
        <v>0.24</v>
      </c>
      <c r="J96">
        <v>4.24</v>
      </c>
      <c r="R96" t="str">
        <v/>
      </c>
      <c r="S96" t="str">
        <v/>
      </c>
    </row>
    <row r="97" spans="1:19" x14ac:dyDescent="0.25">
      <c r="A97">
        <v>2026</v>
      </c>
      <c r="B97" t="str">
        <v>2026-051</v>
      </c>
      <c r="C97" t="str">
        <v>A realizar</v>
      </c>
      <c r="D97" t="str">
        <v>TCendo o Futuro</v>
      </c>
      <c r="E97">
        <v>4</v>
      </c>
      <c r="F97" t="str">
        <v>Priscila Nolasco de Oliveira</v>
      </c>
      <c r="G97">
        <v>5</v>
      </c>
      <c r="H97">
        <v>4</v>
      </c>
      <c r="I97">
        <v>0.24</v>
      </c>
      <c r="J97">
        <v>4.24</v>
      </c>
      <c r="R97" t="str">
        <v/>
      </c>
      <c r="S97" t="str">
        <v/>
      </c>
    </row>
    <row r="98" spans="1:19" x14ac:dyDescent="0.25">
      <c r="A98">
        <v>2026</v>
      </c>
      <c r="B98" t="str">
        <v>2026-052</v>
      </c>
      <c r="C98" t="str">
        <v>A realizar</v>
      </c>
      <c r="D98" t="str">
        <v>TCendo o Futuro</v>
      </c>
      <c r="E98">
        <v>4</v>
      </c>
      <c r="F98" t="str">
        <v>Adriana Cuoco Portugal</v>
      </c>
      <c r="G98">
        <v>5</v>
      </c>
      <c r="H98">
        <v>4</v>
      </c>
      <c r="I98">
        <v>0.24</v>
      </c>
      <c r="J98">
        <v>4.24</v>
      </c>
      <c r="R98" t="str">
        <v/>
      </c>
      <c r="S98" t="str">
        <v/>
      </c>
    </row>
    <row r="99" spans="1:19" x14ac:dyDescent="0.25">
      <c r="A99">
        <v>2026</v>
      </c>
      <c r="B99" t="str">
        <v>2026-052</v>
      </c>
      <c r="C99" t="str">
        <v>A realizar</v>
      </c>
      <c r="D99" t="str">
        <v>TCendo o Futuro</v>
      </c>
      <c r="E99">
        <v>4</v>
      </c>
      <c r="F99" t="str">
        <v>Cinthia Thais de Carvalho Luz Thomazi</v>
      </c>
      <c r="G99">
        <v>5</v>
      </c>
      <c r="H99">
        <v>4</v>
      </c>
      <c r="I99">
        <v>0.24</v>
      </c>
      <c r="J99">
        <v>4.24</v>
      </c>
      <c r="R99" t="str">
        <v/>
      </c>
      <c r="S99" t="str">
        <v/>
      </c>
    </row>
    <row r="100" spans="1:19" x14ac:dyDescent="0.25">
      <c r="A100">
        <v>2026</v>
      </c>
      <c r="B100" t="str">
        <v>2026-052</v>
      </c>
      <c r="C100" t="str">
        <v>A realizar</v>
      </c>
      <c r="D100" t="str">
        <v>TCendo o Futuro</v>
      </c>
      <c r="E100">
        <v>4</v>
      </c>
      <c r="F100" t="str">
        <v>Fernanda Viana de Souza</v>
      </c>
      <c r="G100">
        <v>5</v>
      </c>
      <c r="H100">
        <v>4</v>
      </c>
      <c r="I100">
        <v>0.24</v>
      </c>
      <c r="J100">
        <v>4.24</v>
      </c>
      <c r="R100" t="str">
        <v/>
      </c>
      <c r="S100" t="str">
        <v/>
      </c>
    </row>
    <row r="101" spans="1:19" x14ac:dyDescent="0.25">
      <c r="A101">
        <v>2026</v>
      </c>
      <c r="B101" t="str">
        <v>2026-052</v>
      </c>
      <c r="C101" t="str">
        <v>A realizar</v>
      </c>
      <c r="D101" t="str">
        <v>TCendo o Futuro</v>
      </c>
      <c r="E101">
        <v>4</v>
      </c>
      <c r="F101" t="str">
        <v>Luiz Felipe Tenório de Lima Gondim</v>
      </c>
      <c r="G101">
        <v>5</v>
      </c>
      <c r="H101">
        <v>4</v>
      </c>
      <c r="I101">
        <v>0.24</v>
      </c>
      <c r="J101">
        <v>4.24</v>
      </c>
      <c r="R101" t="str">
        <v/>
      </c>
      <c r="S101" t="str">
        <v/>
      </c>
    </row>
    <row r="102" spans="1:19" x14ac:dyDescent="0.25">
      <c r="A102">
        <v>2026</v>
      </c>
      <c r="B102" t="str">
        <v>2026-052</v>
      </c>
      <c r="C102" t="str">
        <v>A realizar</v>
      </c>
      <c r="D102" t="str">
        <v>TCendo o Futuro</v>
      </c>
      <c r="E102">
        <v>4</v>
      </c>
      <c r="F102" t="str">
        <v>Priscila Nolasco de Oliveira</v>
      </c>
      <c r="G102">
        <v>5</v>
      </c>
      <c r="H102">
        <v>4</v>
      </c>
      <c r="I102">
        <v>0.24</v>
      </c>
      <c r="J102">
        <v>4.24</v>
      </c>
      <c r="R102" t="str">
        <v/>
      </c>
      <c r="S102" t="str">
        <v/>
      </c>
    </row>
    <row r="103" spans="1:19" x14ac:dyDescent="0.25">
      <c r="A103">
        <v>2026</v>
      </c>
      <c r="B103" t="str">
        <v>2026-054</v>
      </c>
      <c r="C103" t="str">
        <v>A realizar</v>
      </c>
      <c r="D103" t="str">
        <v>Oficina Temática – SEMAT: Falhas recorrentes em contratações de TI</v>
      </c>
      <c r="E103">
        <v>8</v>
      </c>
      <c r="F103" t="str">
        <v>Felipe da Costa Malaquias</v>
      </c>
      <c r="G103">
        <v>1</v>
      </c>
      <c r="H103">
        <v>8</v>
      </c>
      <c r="I103">
        <v>2.4</v>
      </c>
      <c r="J103">
        <v>10.4</v>
      </c>
      <c r="R103" t="str">
        <v/>
      </c>
      <c r="S103" t="str">
        <v/>
      </c>
    </row>
    <row r="104" spans="1:19" x14ac:dyDescent="0.25">
      <c r="A104">
        <v>2026</v>
      </c>
      <c r="B104" t="str">
        <v>2026-055</v>
      </c>
      <c r="C104" t="str">
        <v>A realizar</v>
      </c>
      <c r="D104" t="str">
        <v>TCendo o Futuro</v>
      </c>
      <c r="E104">
        <v>4</v>
      </c>
      <c r="F104" t="str">
        <v>Adriana Cuoco Portugal</v>
      </c>
      <c r="G104">
        <v>5</v>
      </c>
      <c r="H104">
        <v>4</v>
      </c>
      <c r="I104">
        <v>0.24</v>
      </c>
      <c r="J104">
        <v>4.24</v>
      </c>
      <c r="R104" t="str">
        <v/>
      </c>
      <c r="S104" t="str">
        <v/>
      </c>
    </row>
    <row r="105" spans="1:19" x14ac:dyDescent="0.25">
      <c r="A105">
        <v>2026</v>
      </c>
      <c r="B105" t="str">
        <v>2026-055</v>
      </c>
      <c r="C105" t="str">
        <v>A realizar</v>
      </c>
      <c r="D105" t="str">
        <v>TCendo o Futuro</v>
      </c>
      <c r="E105">
        <v>4</v>
      </c>
      <c r="F105" t="str">
        <v>Cinthia Thais de Carvalho Luz Thomazi</v>
      </c>
      <c r="G105">
        <v>5</v>
      </c>
      <c r="H105">
        <v>4</v>
      </c>
      <c r="I105">
        <v>0.24</v>
      </c>
      <c r="J105">
        <v>4.24</v>
      </c>
      <c r="R105" t="str">
        <v/>
      </c>
      <c r="S105" t="str">
        <v/>
      </c>
    </row>
    <row r="106" spans="1:19" x14ac:dyDescent="0.25">
      <c r="A106">
        <v>2026</v>
      </c>
      <c r="B106" t="str">
        <v>2026-055</v>
      </c>
      <c r="C106" t="str">
        <v>A realizar</v>
      </c>
      <c r="D106" t="str">
        <v>TCendo o Futuro</v>
      </c>
      <c r="E106">
        <v>4</v>
      </c>
      <c r="F106" t="str">
        <v>Fernanda Viana de Souza</v>
      </c>
      <c r="G106">
        <v>5</v>
      </c>
      <c r="H106">
        <v>4</v>
      </c>
      <c r="I106">
        <v>0.24</v>
      </c>
      <c r="J106">
        <v>4.24</v>
      </c>
      <c r="R106" t="str">
        <v/>
      </c>
      <c r="S106" t="str">
        <v/>
      </c>
    </row>
    <row r="107" spans="1:19" x14ac:dyDescent="0.25">
      <c r="A107">
        <v>2026</v>
      </c>
      <c r="B107" t="str">
        <v>2026-055</v>
      </c>
      <c r="C107" t="str">
        <v>A realizar</v>
      </c>
      <c r="D107" t="str">
        <v>TCendo o Futuro</v>
      </c>
      <c r="E107">
        <v>4</v>
      </c>
      <c r="F107" t="str">
        <v>Luiz Felipe Tenório de Lima Gondim</v>
      </c>
      <c r="G107">
        <v>5</v>
      </c>
      <c r="H107">
        <v>4</v>
      </c>
      <c r="I107">
        <v>0.24</v>
      </c>
      <c r="J107">
        <v>4.24</v>
      </c>
      <c r="R107" t="str">
        <v/>
      </c>
      <c r="S107" t="str">
        <v/>
      </c>
    </row>
    <row r="108" spans="1:19" x14ac:dyDescent="0.25">
      <c r="A108">
        <v>2026</v>
      </c>
      <c r="B108" t="str">
        <v>2026-055</v>
      </c>
      <c r="C108" t="str">
        <v>A realizar</v>
      </c>
      <c r="D108" t="str">
        <v>TCendo o Futuro</v>
      </c>
      <c r="E108">
        <v>4</v>
      </c>
      <c r="F108" t="str">
        <v>Priscila Nolasco de Oliveira</v>
      </c>
      <c r="G108">
        <v>5</v>
      </c>
      <c r="H108">
        <v>4</v>
      </c>
      <c r="I108">
        <v>0.24</v>
      </c>
      <c r="J108">
        <v>4.24</v>
      </c>
      <c r="R108" t="str">
        <v/>
      </c>
      <c r="S108" t="str">
        <v/>
      </c>
    </row>
    <row r="109" spans="1:19" x14ac:dyDescent="0.25">
      <c r="A109">
        <v>2026</v>
      </c>
      <c r="B109" t="str">
        <v>2026-056</v>
      </c>
      <c r="C109" t="str">
        <v>A realizar</v>
      </c>
      <c r="D109" t="str">
        <v>TCendo o Futuro</v>
      </c>
      <c r="E109">
        <v>4</v>
      </c>
      <c r="F109" t="str">
        <v>Adriana Cuoco Portugal</v>
      </c>
      <c r="G109">
        <v>5</v>
      </c>
      <c r="H109">
        <v>4</v>
      </c>
      <c r="I109">
        <v>0.24</v>
      </c>
      <c r="J109">
        <v>4.24</v>
      </c>
      <c r="R109" t="str">
        <v/>
      </c>
      <c r="S109" t="str">
        <v/>
      </c>
    </row>
    <row r="110" spans="1:19" x14ac:dyDescent="0.25">
      <c r="A110">
        <v>2026</v>
      </c>
      <c r="B110" t="str">
        <v>2026-056</v>
      </c>
      <c r="C110" t="str">
        <v>A realizar</v>
      </c>
      <c r="D110" t="str">
        <v>TCendo o Futuro</v>
      </c>
      <c r="E110">
        <v>4</v>
      </c>
      <c r="F110" t="str">
        <v>Cinthia Thais de Carvalho Luz Thomazi</v>
      </c>
      <c r="G110">
        <v>5</v>
      </c>
      <c r="H110">
        <v>4</v>
      </c>
      <c r="I110">
        <v>0.24</v>
      </c>
      <c r="J110">
        <v>4.24</v>
      </c>
      <c r="R110" t="str">
        <v/>
      </c>
      <c r="S110" t="str">
        <v/>
      </c>
    </row>
    <row r="111" spans="1:19" x14ac:dyDescent="0.25">
      <c r="A111">
        <v>2026</v>
      </c>
      <c r="B111" t="str">
        <v>2026-056</v>
      </c>
      <c r="C111" t="str">
        <v>A realizar</v>
      </c>
      <c r="D111" t="str">
        <v>TCendo o Futuro</v>
      </c>
      <c r="E111">
        <v>4</v>
      </c>
      <c r="F111" t="str">
        <v>Fernanda Viana de Souza</v>
      </c>
      <c r="G111">
        <v>5</v>
      </c>
      <c r="H111">
        <v>4</v>
      </c>
      <c r="I111">
        <v>0.24</v>
      </c>
      <c r="J111">
        <v>4.24</v>
      </c>
      <c r="R111" t="str">
        <v/>
      </c>
      <c r="S111" t="str">
        <v/>
      </c>
    </row>
    <row r="112" spans="1:19" x14ac:dyDescent="0.25">
      <c r="A112">
        <v>2026</v>
      </c>
      <c r="B112" t="str">
        <v>2026-056</v>
      </c>
      <c r="C112" t="str">
        <v>A realizar</v>
      </c>
      <c r="D112" t="str">
        <v>TCendo o Futuro</v>
      </c>
      <c r="E112">
        <v>4</v>
      </c>
      <c r="F112" t="str">
        <v>Luiz Felipe Tenório de Lima Gondim</v>
      </c>
      <c r="G112">
        <v>5</v>
      </c>
      <c r="H112">
        <v>4</v>
      </c>
      <c r="I112">
        <v>0.24</v>
      </c>
      <c r="J112">
        <v>4.24</v>
      </c>
      <c r="R112" t="str">
        <v/>
      </c>
      <c r="S112" t="str">
        <v/>
      </c>
    </row>
    <row r="113" spans="1:19" x14ac:dyDescent="0.25">
      <c r="A113">
        <v>2026</v>
      </c>
      <c r="B113" t="str">
        <v>2026-056</v>
      </c>
      <c r="C113" t="str">
        <v>A realizar</v>
      </c>
      <c r="D113" t="str">
        <v>TCendo o Futuro</v>
      </c>
      <c r="E113">
        <v>4</v>
      </c>
      <c r="F113" t="str">
        <v>Priscila Nolasco de Oliveira</v>
      </c>
      <c r="G113">
        <v>5</v>
      </c>
      <c r="H113">
        <v>4</v>
      </c>
      <c r="I113">
        <v>0.24</v>
      </c>
      <c r="J113">
        <v>4.24</v>
      </c>
      <c r="R113" t="str">
        <v/>
      </c>
      <c r="S113" t="str">
        <v/>
      </c>
    </row>
    <row r="114" spans="1:19" x14ac:dyDescent="0.25">
      <c r="R114" t="str">
        <v/>
      </c>
      <c r="S114" t="str">
        <v/>
      </c>
    </row>
    <row r="115" spans="1:19" x14ac:dyDescent="0.25">
      <c r="R115" t="str">
        <v/>
      </c>
      <c r="S115" t="str">
        <v/>
      </c>
    </row>
    <row r="116" spans="1:19" x14ac:dyDescent="0.25">
      <c r="R116" t="str">
        <v/>
      </c>
      <c r="S116" t="str">
        <v/>
      </c>
    </row>
    <row r="117" spans="1:19" x14ac:dyDescent="0.25">
      <c r="R117" t="str">
        <v/>
      </c>
      <c r="S117" t="str">
        <v/>
      </c>
    </row>
    <row r="118" spans="1:19" x14ac:dyDescent="0.25">
      <c r="R118" t="str">
        <v/>
      </c>
      <c r="S118" t="str">
        <v/>
      </c>
    </row>
    <row r="119" spans="1:19" x14ac:dyDescent="0.25">
      <c r="R119" t="str">
        <v/>
      </c>
      <c r="S119" t="str">
        <v/>
      </c>
    </row>
    <row r="120" spans="1:19" x14ac:dyDescent="0.25">
      <c r="R120" t="str">
        <v/>
      </c>
      <c r="S120" t="str">
        <v/>
      </c>
    </row>
    <row r="121" spans="1:19" x14ac:dyDescent="0.25">
      <c r="R121" t="str">
        <v/>
      </c>
      <c r="S121" t="str">
        <v/>
      </c>
    </row>
    <row r="122" spans="1:19" x14ac:dyDescent="0.25">
      <c r="R122" t="str">
        <v/>
      </c>
      <c r="S122" t="str">
        <v/>
      </c>
    </row>
    <row r="123" spans="1:19" x14ac:dyDescent="0.25">
      <c r="R123" t="str">
        <v/>
      </c>
      <c r="S123" t="str">
        <v/>
      </c>
    </row>
    <row r="124" spans="1:19" x14ac:dyDescent="0.25">
      <c r="R124" t="str">
        <v/>
      </c>
      <c r="S124" t="str">
        <v/>
      </c>
    </row>
    <row r="125" spans="1:19" x14ac:dyDescent="0.25">
      <c r="R125" t="str">
        <v/>
      </c>
      <c r="S125" t="str">
        <v/>
      </c>
    </row>
    <row r="126" spans="1:19" x14ac:dyDescent="0.25">
      <c r="R126" t="str">
        <v/>
      </c>
      <c r="S126" t="str">
        <v/>
      </c>
    </row>
    <row r="127" spans="1:19" x14ac:dyDescent="0.25">
      <c r="R127" t="str">
        <v/>
      </c>
      <c r="S127" t="str">
        <v/>
      </c>
    </row>
    <row r="128" spans="1:19" x14ac:dyDescent="0.25">
      <c r="R128" t="str">
        <v/>
      </c>
      <c r="S128" t="str">
        <v/>
      </c>
    </row>
    <row r="129" spans="18:19" x14ac:dyDescent="0.25">
      <c r="R129" t="str">
        <v/>
      </c>
      <c r="S129" t="str">
        <v/>
      </c>
    </row>
    <row r="130" spans="18:19" x14ac:dyDescent="0.25">
      <c r="R130" t="str">
        <v/>
      </c>
      <c r="S130" t="str">
        <v/>
      </c>
    </row>
    <row r="131" spans="18:19" x14ac:dyDescent="0.25">
      <c r="R131" t="str">
        <v/>
      </c>
      <c r="S131" t="str">
        <v/>
      </c>
    </row>
    <row r="132" spans="18:19" x14ac:dyDescent="0.25">
      <c r="R132" t="str">
        <v/>
      </c>
      <c r="S132" t="str">
        <v/>
      </c>
    </row>
    <row r="133" spans="18:19" x14ac:dyDescent="0.25">
      <c r="R133" t="str">
        <v/>
      </c>
      <c r="S133" t="str">
        <v/>
      </c>
    </row>
    <row r="134" spans="18:19" x14ac:dyDescent="0.25">
      <c r="R134" t="str">
        <v/>
      </c>
      <c r="S134" t="str">
        <v/>
      </c>
    </row>
    <row r="135" spans="18:19" x14ac:dyDescent="0.25">
      <c r="R135" t="str">
        <v/>
      </c>
      <c r="S135" t="str">
        <v/>
      </c>
    </row>
    <row r="136" spans="18:19" x14ac:dyDescent="0.25">
      <c r="R136" t="str">
        <v/>
      </c>
      <c r="S136" t="str">
        <v/>
      </c>
    </row>
    <row r="137" spans="18:19" x14ac:dyDescent="0.25">
      <c r="R137" t="str">
        <v/>
      </c>
      <c r="S137" t="str">
        <v/>
      </c>
    </row>
    <row r="138" spans="18:19" x14ac:dyDescent="0.25">
      <c r="R138" t="str">
        <v/>
      </c>
      <c r="S138" t="str">
        <v/>
      </c>
    </row>
    <row r="139" spans="18:19" x14ac:dyDescent="0.25">
      <c r="R139" t="str">
        <v/>
      </c>
      <c r="S139" t="str">
        <v/>
      </c>
    </row>
    <row r="140" spans="18:19" x14ac:dyDescent="0.25">
      <c r="R140" t="str">
        <v/>
      </c>
      <c r="S140" t="str">
        <v/>
      </c>
    </row>
    <row r="141" spans="18:19" x14ac:dyDescent="0.25">
      <c r="R141" t="str">
        <v/>
      </c>
      <c r="S141" t="str">
        <v/>
      </c>
    </row>
    <row r="142" spans="18:19" x14ac:dyDescent="0.25">
      <c r="R142" t="str">
        <v/>
      </c>
      <c r="S142" t="str">
        <v/>
      </c>
    </row>
    <row r="143" spans="18:19" x14ac:dyDescent="0.25">
      <c r="R143" t="str">
        <v/>
      </c>
      <c r="S143" t="str">
        <v/>
      </c>
    </row>
    <row r="144" spans="18:19" x14ac:dyDescent="0.25">
      <c r="R144" t="str">
        <v/>
      </c>
      <c r="S144" t="str">
        <v/>
      </c>
    </row>
    <row r="145" spans="18:19" x14ac:dyDescent="0.25">
      <c r="R145" t="str">
        <v/>
      </c>
      <c r="S145" t="str">
        <v/>
      </c>
    </row>
    <row r="146" spans="18:19" x14ac:dyDescent="0.25">
      <c r="R146" t="str">
        <v/>
      </c>
      <c r="S146" t="str">
        <v/>
      </c>
    </row>
    <row r="147" spans="18:19" x14ac:dyDescent="0.25">
      <c r="R147" t="str">
        <v/>
      </c>
      <c r="S147" t="str">
        <v/>
      </c>
    </row>
    <row r="148" spans="18:19" x14ac:dyDescent="0.25">
      <c r="R148" t="str">
        <v/>
      </c>
      <c r="S148" t="str">
        <v/>
      </c>
    </row>
    <row r="149" spans="18:19" x14ac:dyDescent="0.25">
      <c r="R149" t="str">
        <v/>
      </c>
      <c r="S149" t="str">
        <v/>
      </c>
    </row>
    <row r="150" spans="18:19" x14ac:dyDescent="0.25">
      <c r="R150" t="str">
        <v/>
      </c>
      <c r="S150" t="str">
        <v/>
      </c>
    </row>
    <row r="151" spans="18:19" x14ac:dyDescent="0.25">
      <c r="R151" t="str">
        <v/>
      </c>
      <c r="S151" t="str">
        <v/>
      </c>
    </row>
    <row r="152" spans="18:19" x14ac:dyDescent="0.25">
      <c r="R152" t="str">
        <v/>
      </c>
      <c r="S152" t="str">
        <v/>
      </c>
    </row>
    <row r="153" spans="18:19" x14ac:dyDescent="0.25">
      <c r="R153" t="str">
        <v/>
      </c>
      <c r="S153" t="str">
        <v/>
      </c>
    </row>
    <row r="154" spans="18:19" x14ac:dyDescent="0.25">
      <c r="R154" t="str">
        <v/>
      </c>
      <c r="S154" t="str">
        <v/>
      </c>
    </row>
    <row r="155" spans="18:19" x14ac:dyDescent="0.25">
      <c r="R155" t="str">
        <v/>
      </c>
      <c r="S155" t="str">
        <v/>
      </c>
    </row>
    <row r="156" spans="18:19" x14ac:dyDescent="0.25">
      <c r="R156" t="str">
        <v/>
      </c>
      <c r="S156" t="str">
        <v/>
      </c>
    </row>
    <row r="157" spans="18:19" x14ac:dyDescent="0.25">
      <c r="R157" t="str">
        <v/>
      </c>
      <c r="S157" t="str">
        <v/>
      </c>
    </row>
    <row r="158" spans="18:19" x14ac:dyDescent="0.25">
      <c r="R158" t="str">
        <v/>
      </c>
      <c r="S158" t="str">
        <v/>
      </c>
    </row>
    <row r="159" spans="18:19" x14ac:dyDescent="0.25">
      <c r="R159" t="str">
        <v/>
      </c>
      <c r="S159" t="str">
        <v/>
      </c>
    </row>
    <row r="160" spans="18:19" x14ac:dyDescent="0.25">
      <c r="R160" t="str">
        <v/>
      </c>
      <c r="S160" t="str">
        <v/>
      </c>
    </row>
    <row r="161" spans="18:19" x14ac:dyDescent="0.25">
      <c r="R161" t="str">
        <v/>
      </c>
      <c r="S161" t="str">
        <v/>
      </c>
    </row>
    <row r="162" spans="18:19" x14ac:dyDescent="0.25">
      <c r="R162" t="str">
        <v/>
      </c>
      <c r="S162" t="str">
        <v/>
      </c>
    </row>
    <row r="163" spans="18:19" x14ac:dyDescent="0.25">
      <c r="R163" t="str">
        <v/>
      </c>
      <c r="S163" t="str">
        <v/>
      </c>
    </row>
    <row r="164" spans="18:19" x14ac:dyDescent="0.25">
      <c r="R164" t="str">
        <v/>
      </c>
      <c r="S164" t="str">
        <v/>
      </c>
    </row>
    <row r="165" spans="18:19" x14ac:dyDescent="0.25">
      <c r="R165" t="str">
        <v/>
      </c>
      <c r="S165" t="str">
        <v/>
      </c>
    </row>
    <row r="166" spans="18:19" x14ac:dyDescent="0.25">
      <c r="R166" t="str">
        <v/>
      </c>
      <c r="S166" t="str">
        <v/>
      </c>
    </row>
    <row r="167" spans="18:19" x14ac:dyDescent="0.25">
      <c r="R167" t="str">
        <v/>
      </c>
      <c r="S167" t="str">
        <v/>
      </c>
    </row>
    <row r="168" spans="18:19" x14ac:dyDescent="0.25">
      <c r="R168" t="str">
        <v/>
      </c>
      <c r="S168" t="str">
        <v/>
      </c>
    </row>
    <row r="169" spans="18:19" x14ac:dyDescent="0.25">
      <c r="R169" t="str">
        <v/>
      </c>
      <c r="S169" t="str">
        <v/>
      </c>
    </row>
    <row r="170" spans="18:19" x14ac:dyDescent="0.25">
      <c r="R170" t="str">
        <v/>
      </c>
      <c r="S170" t="str">
        <v/>
      </c>
    </row>
    <row r="171" spans="18:19" x14ac:dyDescent="0.25">
      <c r="R171" t="str">
        <v/>
      </c>
      <c r="S171" t="str">
        <v/>
      </c>
    </row>
    <row r="172" spans="18:19" x14ac:dyDescent="0.25">
      <c r="R172" t="str">
        <v/>
      </c>
      <c r="S172" t="str">
        <v/>
      </c>
    </row>
    <row r="173" spans="18:19" x14ac:dyDescent="0.25">
      <c r="R173" t="str">
        <v/>
      </c>
      <c r="S173" t="str">
        <v/>
      </c>
    </row>
    <row r="174" spans="18:19" x14ac:dyDescent="0.25">
      <c r="R174" t="str">
        <v/>
      </c>
      <c r="S174" t="str">
        <v/>
      </c>
    </row>
    <row r="175" spans="18:19" x14ac:dyDescent="0.25">
      <c r="R175" t="str">
        <v/>
      </c>
      <c r="S175" t="str">
        <v/>
      </c>
    </row>
    <row r="176" spans="18:19" x14ac:dyDescent="0.25">
      <c r="R176" t="str">
        <v/>
      </c>
      <c r="S176" t="str">
        <v/>
      </c>
    </row>
    <row r="177" spans="18:19" x14ac:dyDescent="0.25">
      <c r="R177" t="str">
        <v/>
      </c>
      <c r="S177" t="str">
        <v/>
      </c>
    </row>
    <row r="178" spans="18:19" x14ac:dyDescent="0.25">
      <c r="R178" t="str">
        <v/>
      </c>
      <c r="S178" t="str">
        <v/>
      </c>
    </row>
    <row r="179" spans="18:19" x14ac:dyDescent="0.25">
      <c r="R179" t="str">
        <v/>
      </c>
      <c r="S179" t="str">
        <v/>
      </c>
    </row>
    <row r="180" spans="18:19" x14ac:dyDescent="0.25">
      <c r="R180" t="str">
        <v/>
      </c>
      <c r="S180" t="str">
        <v/>
      </c>
    </row>
    <row r="181" spans="18:19" x14ac:dyDescent="0.25">
      <c r="R181" t="str">
        <v/>
      </c>
      <c r="S181" t="str">
        <v/>
      </c>
    </row>
    <row r="182" spans="18:19" x14ac:dyDescent="0.25">
      <c r="R182" t="str">
        <v/>
      </c>
      <c r="S182" t="str">
        <v/>
      </c>
    </row>
    <row r="183" spans="18:19" x14ac:dyDescent="0.25">
      <c r="R183" t="str">
        <v/>
      </c>
      <c r="S183" t="str">
        <v/>
      </c>
    </row>
    <row r="184" spans="18:19" x14ac:dyDescent="0.25">
      <c r="R184" t="str">
        <v/>
      </c>
      <c r="S184" t="str">
        <v/>
      </c>
    </row>
    <row r="185" spans="18:19" x14ac:dyDescent="0.25">
      <c r="R185" t="str">
        <v/>
      </c>
      <c r="S185" t="str">
        <v/>
      </c>
    </row>
    <row r="186" spans="18:19" x14ac:dyDescent="0.25">
      <c r="R186" t="str">
        <v/>
      </c>
      <c r="S186" t="str">
        <v/>
      </c>
    </row>
    <row r="187" spans="18:19" x14ac:dyDescent="0.25">
      <c r="R187" t="str">
        <v/>
      </c>
      <c r="S187" t="str">
        <v/>
      </c>
    </row>
    <row r="188" spans="18:19" x14ac:dyDescent="0.25">
      <c r="R188" t="str">
        <v/>
      </c>
      <c r="S188" t="str">
        <v/>
      </c>
    </row>
    <row r="189" spans="18:19" x14ac:dyDescent="0.25">
      <c r="R189" t="str">
        <v/>
      </c>
      <c r="S189" t="str">
        <v/>
      </c>
    </row>
    <row r="190" spans="18:19" x14ac:dyDescent="0.25">
      <c r="R190" t="str">
        <v/>
      </c>
      <c r="S190" t="str">
        <v/>
      </c>
    </row>
    <row r="191" spans="18:19" x14ac:dyDescent="0.25">
      <c r="R191" t="str">
        <v/>
      </c>
      <c r="S191" t="str">
        <v/>
      </c>
    </row>
    <row r="192" spans="18:19" x14ac:dyDescent="0.25">
      <c r="R192" t="str">
        <v/>
      </c>
      <c r="S192" t="str">
        <v/>
      </c>
    </row>
    <row r="193" spans="18:19" x14ac:dyDescent="0.25">
      <c r="R193" t="str">
        <v/>
      </c>
      <c r="S193" t="str">
        <v/>
      </c>
    </row>
    <row r="194" spans="18:19" x14ac:dyDescent="0.25">
      <c r="R194" t="str">
        <v/>
      </c>
      <c r="S194" t="str">
        <v/>
      </c>
    </row>
    <row r="195" spans="18:19" x14ac:dyDescent="0.25">
      <c r="R195" t="str">
        <v/>
      </c>
      <c r="S195" t="str">
        <v/>
      </c>
    </row>
    <row r="196" spans="18:19" x14ac:dyDescent="0.25">
      <c r="R196" t="str">
        <v/>
      </c>
      <c r="S196" t="str">
        <v/>
      </c>
    </row>
    <row r="197" spans="18:19" x14ac:dyDescent="0.25">
      <c r="R197" t="str">
        <v/>
      </c>
      <c r="S197" t="str">
        <v/>
      </c>
    </row>
    <row r="198" spans="18:19" x14ac:dyDescent="0.25">
      <c r="R198" t="str">
        <v/>
      </c>
      <c r="S198" t="str">
        <v/>
      </c>
    </row>
    <row r="199" spans="18:19" x14ac:dyDescent="0.25">
      <c r="R199" t="str">
        <v/>
      </c>
      <c r="S199" t="str">
        <v/>
      </c>
    </row>
    <row r="200" spans="18:19" x14ac:dyDescent="0.25">
      <c r="R200" t="str">
        <v/>
      </c>
      <c r="S200" t="str">
        <v/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AEE64-90BD-49BC-87F7-70B7A5CCFC95}">
  <dimension ref="A1:G45"/>
  <sheetViews>
    <sheetView workbookViewId="0">
      <pane ySplit="2" topLeftCell="A29" activePane="bottomLeft" state="frozen"/>
      <selection pane="bottomLeft" activeCell="A37" sqref="A37"/>
    </sheetView>
  </sheetViews>
  <sheetFormatPr defaultRowHeight="15" x14ac:dyDescent="0.25"/>
  <cols>
    <col min="1" max="1" width="41.85546875" customWidth="1"/>
    <col min="2" max="2" width="22.85546875" customWidth="1"/>
    <col min="3" max="3" width="7.5703125" customWidth="1"/>
    <col min="4" max="4" width="41.85546875" customWidth="1"/>
    <col min="5" max="5" width="22.85546875" customWidth="1"/>
    <col min="6" max="6" width="7.5703125" customWidth="1"/>
    <col min="7" max="7" width="41.85546875" customWidth="1"/>
  </cols>
  <sheetData>
    <row r="1" spans="1:7" ht="50.1" customHeight="1" x14ac:dyDescent="0.35">
      <c r="A1" s="283" t="s">
        <v>2907</v>
      </c>
      <c r="B1" s="283"/>
      <c r="C1" s="283"/>
      <c r="D1" s="283"/>
      <c r="E1" s="283"/>
      <c r="F1" s="283"/>
      <c r="G1" s="283"/>
    </row>
    <row r="2" spans="1:7" ht="9.9499999999999993" customHeight="1" x14ac:dyDescent="0.25">
      <c r="A2" s="107"/>
      <c r="B2" s="107"/>
      <c r="C2" s="107"/>
      <c r="D2" s="107"/>
      <c r="E2" s="107"/>
      <c r="F2" s="107"/>
      <c r="G2" s="107"/>
    </row>
    <row r="3" spans="1:7" ht="15.75" thickBot="1" x14ac:dyDescent="0.3"/>
    <row r="4" spans="1:7" ht="24.95" customHeight="1" x14ac:dyDescent="0.25">
      <c r="A4" s="284" t="s">
        <v>2908</v>
      </c>
      <c r="B4" s="285"/>
      <c r="D4" s="286" t="s">
        <v>2909</v>
      </c>
      <c r="E4" s="287"/>
      <c r="G4" s="125" t="s">
        <v>2910</v>
      </c>
    </row>
    <row r="5" spans="1:7" ht="54.95" customHeight="1" thickBot="1" x14ac:dyDescent="0.75">
      <c r="A5" s="115">
        <f>COUNTIF('Ações InCompany'!B:B,2026)</f>
        <v>56</v>
      </c>
      <c r="B5" s="116" t="s">
        <v>2911</v>
      </c>
      <c r="D5" s="123">
        <f>COUNTIFS('Ações InCompany'!B:B,2026,'Ações InCompany'!C:C,"Realizado")</f>
        <v>32</v>
      </c>
      <c r="E5" s="124" t="s">
        <v>2911</v>
      </c>
      <c r="G5" s="126">
        <f>COUNTIFS('Ações InCompany'!B:B,2026,'Ações InCompany'!C:C,"A realizar")</f>
        <v>19</v>
      </c>
    </row>
    <row r="6" spans="1:7" ht="5.0999999999999996" customHeight="1" x14ac:dyDescent="0.25">
      <c r="A6" s="107"/>
      <c r="B6" s="107"/>
      <c r="C6" s="107"/>
      <c r="D6" s="107"/>
      <c r="E6" s="107"/>
      <c r="F6" s="107"/>
      <c r="G6" s="107"/>
    </row>
    <row r="8" spans="1:7" ht="17.25" x14ac:dyDescent="0.3">
      <c r="A8" s="281" t="s">
        <v>2912</v>
      </c>
      <c r="B8" s="281"/>
      <c r="D8" s="281" t="s">
        <v>2913</v>
      </c>
      <c r="E8" s="281"/>
    </row>
    <row r="9" spans="1:7" ht="5.0999999999999996" customHeight="1" x14ac:dyDescent="0.25">
      <c r="A9" s="282"/>
      <c r="B9" s="282"/>
      <c r="D9" s="282"/>
      <c r="E9" s="282"/>
    </row>
    <row r="10" spans="1:7" ht="24.95" customHeight="1" x14ac:dyDescent="0.25">
      <c r="A10" s="108" t="s">
        <v>5</v>
      </c>
      <c r="B10" s="108" t="s">
        <v>2914</v>
      </c>
      <c r="D10" s="108" t="s">
        <v>2915</v>
      </c>
      <c r="E10" s="108" t="s">
        <v>2916</v>
      </c>
    </row>
    <row r="11" spans="1:7" ht="27.95" customHeight="1" x14ac:dyDescent="0.3">
      <c r="A11" s="109" t="s">
        <v>23</v>
      </c>
      <c r="B11" s="110">
        <f>COUNTIFS('Ações InCompany'!B:B,2026,'Ações InCompany'!C:C,"Realizado",'Ações InCompany'!F:F,"Servidores do TCDF")</f>
        <v>16</v>
      </c>
      <c r="D11" s="109" t="s">
        <v>2917</v>
      </c>
      <c r="E11" s="110">
        <f>SUMIFS('Ações InCompany'!O:O,'Ações InCompany'!B:B,2026,'Ações InCompany'!C:C,"Realizado")</f>
        <v>502</v>
      </c>
    </row>
    <row r="12" spans="1:7" ht="27.95" customHeight="1" x14ac:dyDescent="0.3">
      <c r="A12" s="111" t="s">
        <v>62</v>
      </c>
      <c r="B12" s="112">
        <f>COUNTIFS('Ações InCompany'!B:B,2026,'Ações InCompany'!C:C,"Realizado",'Ações InCompany'!F:F,"Jurisdicionados")</f>
        <v>11</v>
      </c>
      <c r="D12" s="111" t="s">
        <v>2918</v>
      </c>
      <c r="E12" s="112">
        <f>SUMIFS('Ações InCompany'!P:P,'Ações InCompany'!B:B,2026,'Ações InCompany'!C:C,"Realizado")</f>
        <v>561</v>
      </c>
    </row>
    <row r="13" spans="1:7" ht="27.95" customHeight="1" x14ac:dyDescent="0.3">
      <c r="A13" s="109" t="s">
        <v>81</v>
      </c>
      <c r="B13" s="110">
        <f>COUNTIFS('Ações InCompany'!B:B,2026,'Ações InCompany'!C:C,"Realizado",'Ações InCompany'!F:F,"Sociedade")</f>
        <v>5</v>
      </c>
      <c r="D13" s="109" t="s">
        <v>2919</v>
      </c>
      <c r="E13" s="110">
        <f>SUMIFS('Ações InCompany'!Q:Q,'Ações InCompany'!B:B,2026,'Ações InCompany'!C:C,"Realizado")</f>
        <v>411</v>
      </c>
    </row>
    <row r="14" spans="1:7" ht="27.95" customHeight="1" x14ac:dyDescent="0.3">
      <c r="A14" s="113" t="s">
        <v>2920</v>
      </c>
      <c r="B14" s="114">
        <f>SUM(B11:B13)</f>
        <v>32</v>
      </c>
      <c r="D14" s="113" t="s">
        <v>2921</v>
      </c>
      <c r="E14" s="114">
        <f>SUM(E11:E13)</f>
        <v>1474</v>
      </c>
    </row>
    <row r="30" spans="1:5" ht="17.25" x14ac:dyDescent="0.3">
      <c r="A30" s="281" t="s">
        <v>2922</v>
      </c>
      <c r="B30" s="281"/>
      <c r="C30" s="281"/>
      <c r="D30" s="281"/>
      <c r="E30" s="281"/>
    </row>
    <row r="31" spans="1:5" ht="5.0999999999999996" customHeight="1" x14ac:dyDescent="0.25">
      <c r="A31" s="282"/>
      <c r="B31" s="282"/>
      <c r="C31" s="282"/>
      <c r="D31" s="282"/>
      <c r="E31" s="282"/>
    </row>
    <row r="32" spans="1:5" ht="24.95" customHeight="1" x14ac:dyDescent="0.25">
      <c r="A32" s="108" t="s">
        <v>6</v>
      </c>
      <c r="B32" s="108" t="s">
        <v>2923</v>
      </c>
      <c r="C32" s="108" t="s">
        <v>2924</v>
      </c>
      <c r="D32" s="108" t="s">
        <v>2925</v>
      </c>
      <c r="E32" s="108" t="s">
        <v>2926</v>
      </c>
    </row>
    <row r="33" spans="1:5" ht="24" customHeight="1" x14ac:dyDescent="0.25">
      <c r="A33" s="109" t="s">
        <v>72</v>
      </c>
      <c r="B33" s="117">
        <f>COUNTIFS('Ações InCompany'!B:B,2026,'Ações InCompany'!C:C,"Realizado",'Ações InCompany'!G:G,A33)</f>
        <v>5</v>
      </c>
      <c r="C33" s="127">
        <f>COUNTIFS('Ações InCompany'!B:B,2026,'Ações InCompany'!C:C,"A realizar",'Ações InCompany'!G:G,A33)</f>
        <v>6</v>
      </c>
      <c r="D33" s="117">
        <f t="shared" ref="D33:D44" si="0">B33+C33</f>
        <v>11</v>
      </c>
      <c r="E33" s="118">
        <f t="shared" ref="E33:E44" si="1">D33/$D$45</f>
        <v>0.21568627450980393</v>
      </c>
    </row>
    <row r="34" spans="1:5" ht="24" customHeight="1" x14ac:dyDescent="0.25">
      <c r="A34" s="111" t="s">
        <v>38</v>
      </c>
      <c r="B34" s="119">
        <f>COUNTIFS('Ações InCompany'!B:B,2026,'Ações InCompany'!C:C,"Realizado",'Ações InCompany'!G:G,A34)</f>
        <v>3</v>
      </c>
      <c r="C34" s="128">
        <f>COUNTIFS('Ações InCompany'!B:B,2026,'Ações InCompany'!C:C,"A realizar",'Ações InCompany'!G:G,A34)</f>
        <v>0</v>
      </c>
      <c r="D34" s="119">
        <f t="shared" si="0"/>
        <v>3</v>
      </c>
      <c r="E34" s="120">
        <f t="shared" si="1"/>
        <v>5.8823529411764705E-2</v>
      </c>
    </row>
    <row r="35" spans="1:5" ht="24" customHeight="1" x14ac:dyDescent="0.25">
      <c r="A35" s="109" t="s">
        <v>2711</v>
      </c>
      <c r="B35" s="117">
        <f>COUNTIFS('Ações InCompany'!B:B,2026,'Ações InCompany'!C:C,"Realizado",'Ações InCompany'!G:G,A35)</f>
        <v>5</v>
      </c>
      <c r="C35" s="127">
        <f>COUNTIFS('Ações InCompany'!B:B,2026,'Ações InCompany'!C:C,"A realizar",'Ações InCompany'!G:G,A35)</f>
        <v>1</v>
      </c>
      <c r="D35" s="117">
        <f t="shared" si="0"/>
        <v>6</v>
      </c>
      <c r="E35" s="118">
        <f t="shared" si="1"/>
        <v>0.11764705882352941</v>
      </c>
    </row>
    <row r="36" spans="1:5" ht="24" customHeight="1" x14ac:dyDescent="0.25">
      <c r="A36" s="111" t="s">
        <v>2695</v>
      </c>
      <c r="B36" s="119">
        <f>COUNTIFS('Ações InCompany'!B:B,2026,'Ações InCompany'!C:C,"Realizado",'Ações InCompany'!G:G,A36)</f>
        <v>1</v>
      </c>
      <c r="C36" s="128">
        <f>COUNTIFS('Ações InCompany'!B:B,2026,'Ações InCompany'!C:C,"A realizar",'Ações InCompany'!G:G,A36)</f>
        <v>1</v>
      </c>
      <c r="D36" s="119">
        <f t="shared" si="0"/>
        <v>2</v>
      </c>
      <c r="E36" s="120">
        <f t="shared" si="1"/>
        <v>3.9215686274509803E-2</v>
      </c>
    </row>
    <row r="37" spans="1:5" ht="24" customHeight="1" x14ac:dyDescent="0.25">
      <c r="A37" s="109" t="s">
        <v>199</v>
      </c>
      <c r="B37" s="117">
        <f>COUNTIFS('Ações InCompany'!B:B,2026,'Ações InCompany'!C:C,"Realizado",'Ações InCompany'!G:G,A37)</f>
        <v>2</v>
      </c>
      <c r="C37" s="127">
        <f>COUNTIFS('Ações InCompany'!B:B,2026,'Ações InCompany'!C:C,"A realizar",'Ações InCompany'!G:G,A37)</f>
        <v>0</v>
      </c>
      <c r="D37" s="117">
        <f t="shared" si="0"/>
        <v>2</v>
      </c>
      <c r="E37" s="118">
        <f t="shared" si="1"/>
        <v>3.9215686274509803E-2</v>
      </c>
    </row>
    <row r="38" spans="1:5" ht="24" customHeight="1" x14ac:dyDescent="0.25">
      <c r="A38" s="111" t="s">
        <v>2727</v>
      </c>
      <c r="B38" s="119">
        <f>COUNTIFS('Ações InCompany'!B:B,2026,'Ações InCompany'!C:C,"Realizado",'Ações InCompany'!G:G,A38)</f>
        <v>5</v>
      </c>
      <c r="C38" s="128">
        <f>COUNTIFS('Ações InCompany'!B:B,2026,'Ações InCompany'!C:C,"A realizar",'Ações InCompany'!G:G,A38)</f>
        <v>7</v>
      </c>
      <c r="D38" s="119">
        <f t="shared" si="0"/>
        <v>12</v>
      </c>
      <c r="E38" s="120">
        <f t="shared" si="1"/>
        <v>0.23529411764705882</v>
      </c>
    </row>
    <row r="39" spans="1:5" ht="24" customHeight="1" x14ac:dyDescent="0.25">
      <c r="A39" s="144" t="s">
        <v>24</v>
      </c>
      <c r="B39" s="145">
        <f>COUNTIFS('Ações InCompany'!B:B,2026,'Ações InCompany'!C:C,"Realizado",'Ações InCompany'!G:G,A39)</f>
        <v>3</v>
      </c>
      <c r="C39" s="146">
        <f>COUNTIFS('Ações InCompany'!B:B,2026,'Ações InCompany'!C:C,"A realizar",'Ações InCompany'!G:G,A39)</f>
        <v>1</v>
      </c>
      <c r="D39" s="145">
        <f t="shared" si="0"/>
        <v>4</v>
      </c>
      <c r="E39" s="147">
        <f t="shared" si="1"/>
        <v>7.8431372549019607E-2</v>
      </c>
    </row>
    <row r="40" spans="1:5" ht="24" customHeight="1" x14ac:dyDescent="0.25">
      <c r="A40" s="156" t="s">
        <v>68</v>
      </c>
      <c r="B40" s="153">
        <f>COUNTIFS('Ações InCompany'!B:B,2026,'Ações InCompany'!C:C,"Realizado",'Ações InCompany'!G:G,A40)</f>
        <v>0</v>
      </c>
      <c r="C40" s="154">
        <f>COUNTIFS('Ações InCompany'!B:B,2026,'Ações InCompany'!C:C,"A realizar",'Ações InCompany'!G:G,A40)</f>
        <v>2</v>
      </c>
      <c r="D40" s="153">
        <f>B40+C40</f>
        <v>2</v>
      </c>
      <c r="E40" s="158">
        <f>D40/$D$45</f>
        <v>3.9215686274509803E-2</v>
      </c>
    </row>
    <row r="41" spans="1:5" ht="24" customHeight="1" x14ac:dyDescent="0.25">
      <c r="A41" s="155" t="s">
        <v>2690</v>
      </c>
      <c r="B41" s="151">
        <f>COUNTIFS('Ações InCompany'!B:B,2026,'Ações InCompany'!C:C,"Realizado",'Ações InCompany'!G:G,A41)</f>
        <v>6</v>
      </c>
      <c r="C41" s="152">
        <f>COUNTIFS('Ações InCompany'!B:B,2026,'Ações InCompany'!C:C,"A realizar",'Ações InCompany'!G:G,A41)</f>
        <v>1</v>
      </c>
      <c r="D41" s="151">
        <f>B41+C41</f>
        <v>7</v>
      </c>
      <c r="E41" s="157">
        <f>D41/$D$45</f>
        <v>0.13725490196078433</v>
      </c>
    </row>
    <row r="42" spans="1:5" ht="24" customHeight="1" x14ac:dyDescent="0.25">
      <c r="A42" s="156" t="s">
        <v>2927</v>
      </c>
      <c r="B42" s="153">
        <f>COUNTIFS('Ações InCompany'!B:B,2026,'Ações InCompany'!C:C,"Realizado",'Ações InCompany'!G:G,A42)</f>
        <v>0</v>
      </c>
      <c r="C42" s="154">
        <f>COUNTIFS('Ações InCompany'!B:B,2026,'Ações InCompany'!C:C,"A realizar",'Ações InCompany'!G:G,A42)</f>
        <v>0</v>
      </c>
      <c r="D42" s="153">
        <f>B42+C42</f>
        <v>0</v>
      </c>
      <c r="E42" s="158">
        <f>D42/$D$45</f>
        <v>0</v>
      </c>
    </row>
    <row r="43" spans="1:5" ht="24" customHeight="1" x14ac:dyDescent="0.25">
      <c r="A43" s="155" t="s">
        <v>364</v>
      </c>
      <c r="B43" s="151">
        <f>COUNTIFS('Ações InCompany'!B:B,2026,'Ações InCompany'!C:C,"Realizado",'Ações InCompany'!G:G,A43)</f>
        <v>2</v>
      </c>
      <c r="C43" s="152">
        <f>COUNTIFS('Ações InCompany'!B:B,2026,'Ações InCompany'!C:C,"A realizar",'Ações InCompany'!G:G,A43)</f>
        <v>0</v>
      </c>
      <c r="D43" s="151">
        <f>B43+C43</f>
        <v>2</v>
      </c>
      <c r="E43" s="157">
        <f>D43/$D$45</f>
        <v>3.9215686274509803E-2</v>
      </c>
    </row>
    <row r="44" spans="1:5" ht="24" customHeight="1" x14ac:dyDescent="0.25">
      <c r="A44" s="148" t="s">
        <v>2928</v>
      </c>
      <c r="B44" s="149">
        <f>COUNTIFS('Ações InCompany'!B:B,2026,'Ações InCompany'!C:C,"Realizado",'Ações InCompany'!G:G,"")</f>
        <v>0</v>
      </c>
      <c r="C44" s="149">
        <f>COUNTIFS('Ações InCompany'!B:B,2026,'Ações InCompany'!C:C,"A realizar",'Ações InCompany'!G:G,"")</f>
        <v>0</v>
      </c>
      <c r="D44" s="149">
        <f t="shared" si="0"/>
        <v>0</v>
      </c>
      <c r="E44" s="150">
        <f t="shared" si="1"/>
        <v>0</v>
      </c>
    </row>
    <row r="45" spans="1:5" ht="24" customHeight="1" x14ac:dyDescent="0.25">
      <c r="A45" s="113" t="s">
        <v>2920</v>
      </c>
      <c r="B45" s="121">
        <f>SUM(B33:B44)</f>
        <v>32</v>
      </c>
      <c r="C45" s="121">
        <f>SUM(C33:C44)</f>
        <v>19</v>
      </c>
      <c r="D45" s="121">
        <f>SUM(D33:D44)</f>
        <v>51</v>
      </c>
      <c r="E45" s="122">
        <f>SUM(E33:E44)</f>
        <v>0.99999999999999989</v>
      </c>
    </row>
  </sheetData>
  <mergeCells count="9">
    <mergeCell ref="A30:E30"/>
    <mergeCell ref="A31:E31"/>
    <mergeCell ref="A1:G1"/>
    <mergeCell ref="A4:B4"/>
    <mergeCell ref="D4:E4"/>
    <mergeCell ref="A8:B8"/>
    <mergeCell ref="A9:B9"/>
    <mergeCell ref="D8:E8"/>
    <mergeCell ref="D9:E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251C-FE31-4CBA-9282-4F6428EC39EE}">
  <dimension ref="A1:E11"/>
  <sheetViews>
    <sheetView workbookViewId="0">
      <selection activeCell="A12" sqref="A12"/>
    </sheetView>
  </sheetViews>
  <sheetFormatPr defaultColWidth="9.140625" defaultRowHeight="18" customHeight="1" x14ac:dyDescent="0.25"/>
  <cols>
    <col min="1" max="1" width="15.85546875" style="12" bestFit="1" customWidth="1"/>
    <col min="2" max="2" width="22" style="12" bestFit="1" customWidth="1"/>
    <col min="3" max="3" width="73.42578125" style="12" bestFit="1" customWidth="1"/>
    <col min="4" max="4" width="76.85546875" style="12" bestFit="1" customWidth="1"/>
    <col min="5" max="5" width="255.7109375" style="12" bestFit="1" customWidth="1"/>
    <col min="6" max="16384" width="9.140625" style="12"/>
  </cols>
  <sheetData>
    <row r="1" spans="1:5" ht="18" customHeight="1" x14ac:dyDescent="0.25">
      <c r="A1" s="12" t="s">
        <v>2929</v>
      </c>
      <c r="B1" s="12" t="s">
        <v>2930</v>
      </c>
      <c r="C1" s="13" t="s">
        <v>2931</v>
      </c>
      <c r="D1" s="13" t="s">
        <v>2932</v>
      </c>
      <c r="E1" s="13" t="s">
        <v>2933</v>
      </c>
    </row>
    <row r="2" spans="1:5" ht="18" customHeight="1" x14ac:dyDescent="0.25">
      <c r="A2" s="12" t="s">
        <v>2934</v>
      </c>
      <c r="B2" s="12" t="s">
        <v>2935</v>
      </c>
      <c r="C2" s="12" t="s">
        <v>1729</v>
      </c>
      <c r="D2" s="12" t="s">
        <v>2936</v>
      </c>
      <c r="E2" s="12" t="s">
        <v>2937</v>
      </c>
    </row>
    <row r="3" spans="1:5" ht="18" customHeight="1" x14ac:dyDescent="0.25">
      <c r="A3" s="12" t="s">
        <v>2934</v>
      </c>
      <c r="B3" s="12" t="s">
        <v>2935</v>
      </c>
      <c r="C3" s="14" t="s">
        <v>24</v>
      </c>
      <c r="D3" s="12" t="s">
        <v>2938</v>
      </c>
      <c r="E3" s="12" t="s">
        <v>2939</v>
      </c>
    </row>
    <row r="4" spans="1:5" ht="18" customHeight="1" x14ac:dyDescent="0.25">
      <c r="A4" s="12" t="s">
        <v>2934</v>
      </c>
      <c r="B4" s="12" t="s">
        <v>2935</v>
      </c>
      <c r="C4" s="12" t="s">
        <v>68</v>
      </c>
      <c r="D4" s="12" t="s">
        <v>2936</v>
      </c>
      <c r="E4" s="12" t="s">
        <v>2940</v>
      </c>
    </row>
    <row r="5" spans="1:5" ht="18" customHeight="1" x14ac:dyDescent="0.25">
      <c r="A5" s="12" t="s">
        <v>2934</v>
      </c>
      <c r="B5" s="12" t="s">
        <v>2935</v>
      </c>
      <c r="C5" s="12" t="s">
        <v>72</v>
      </c>
      <c r="D5" s="12" t="s">
        <v>2941</v>
      </c>
      <c r="E5" s="12" t="s">
        <v>2942</v>
      </c>
    </row>
    <row r="6" spans="1:5" ht="18" customHeight="1" x14ac:dyDescent="0.25">
      <c r="A6" s="12" t="s">
        <v>2934</v>
      </c>
      <c r="B6" s="12" t="s">
        <v>2935</v>
      </c>
      <c r="C6" s="12" t="s">
        <v>2727</v>
      </c>
      <c r="D6" s="12" t="s">
        <v>2943</v>
      </c>
      <c r="E6" s="12" t="s">
        <v>2944</v>
      </c>
    </row>
    <row r="7" spans="1:5" ht="18" customHeight="1" x14ac:dyDescent="0.25">
      <c r="A7" s="12" t="s">
        <v>2934</v>
      </c>
      <c r="B7" s="12" t="s">
        <v>2945</v>
      </c>
      <c r="C7" s="12" t="s">
        <v>33</v>
      </c>
      <c r="D7" s="12" t="s">
        <v>2946</v>
      </c>
      <c r="E7" s="12" t="s">
        <v>2947</v>
      </c>
    </row>
    <row r="8" spans="1:5" ht="18" customHeight="1" x14ac:dyDescent="0.25">
      <c r="A8" s="12" t="s">
        <v>2934</v>
      </c>
      <c r="B8" s="12" t="s">
        <v>2945</v>
      </c>
      <c r="C8" s="12" t="s">
        <v>38</v>
      </c>
      <c r="D8" s="12" t="s">
        <v>2948</v>
      </c>
      <c r="E8" s="12" t="s">
        <v>2949</v>
      </c>
    </row>
    <row r="9" spans="1:5" ht="18" customHeight="1" x14ac:dyDescent="0.25">
      <c r="A9" s="12" t="s">
        <v>2934</v>
      </c>
      <c r="B9" s="12" t="s">
        <v>2950</v>
      </c>
      <c r="C9" s="12" t="s">
        <v>457</v>
      </c>
      <c r="D9" s="12" t="s">
        <v>2951</v>
      </c>
      <c r="E9" s="12" t="s">
        <v>2952</v>
      </c>
    </row>
    <row r="10" spans="1:5" ht="18" customHeight="1" x14ac:dyDescent="0.25">
      <c r="A10" s="12" t="s">
        <v>2934</v>
      </c>
      <c r="B10" s="12" t="s">
        <v>2950</v>
      </c>
      <c r="C10" s="12" t="s">
        <v>199</v>
      </c>
      <c r="D10" s="12" t="s">
        <v>23</v>
      </c>
      <c r="E10" s="12" t="s">
        <v>2953</v>
      </c>
    </row>
    <row r="11" spans="1:5" ht="18" customHeight="1" x14ac:dyDescent="0.25">
      <c r="A11" s="12" t="s">
        <v>2934</v>
      </c>
      <c r="B11" s="12" t="s">
        <v>2950</v>
      </c>
      <c r="C11" s="12" t="s">
        <v>364</v>
      </c>
      <c r="D11" s="12" t="s">
        <v>23</v>
      </c>
      <c r="E11" s="12" t="s">
        <v>2954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0FA4-DB0D-4ACD-9BBA-7CDB8D4109D9}">
  <dimension ref="A1:D6"/>
  <sheetViews>
    <sheetView workbookViewId="0">
      <selection activeCell="D17" sqref="D17"/>
    </sheetView>
  </sheetViews>
  <sheetFormatPr defaultColWidth="9.140625" defaultRowHeight="21" customHeight="1" x14ac:dyDescent="0.25"/>
  <cols>
    <col min="1" max="1" width="23" style="12" customWidth="1"/>
    <col min="2" max="2" width="20.28515625" style="12" customWidth="1"/>
    <col min="3" max="3" width="11" style="12" customWidth="1"/>
    <col min="4" max="4" width="20.85546875" style="12" customWidth="1"/>
    <col min="5" max="16384" width="9.140625" style="12"/>
  </cols>
  <sheetData>
    <row r="1" spans="1:4" ht="21" customHeight="1" x14ac:dyDescent="0.25">
      <c r="A1" s="15" t="s">
        <v>2955</v>
      </c>
      <c r="B1" s="5" t="s">
        <v>10</v>
      </c>
      <c r="C1" s="15" t="s">
        <v>2956</v>
      </c>
      <c r="D1" s="15" t="s">
        <v>2848</v>
      </c>
    </row>
    <row r="2" spans="1:4" ht="21" customHeight="1" x14ac:dyDescent="0.25">
      <c r="A2" s="258" t="s">
        <v>23</v>
      </c>
      <c r="B2" s="258" t="s">
        <v>35</v>
      </c>
      <c r="C2" s="12" t="s">
        <v>2957</v>
      </c>
      <c r="D2" s="12" t="s">
        <v>2764</v>
      </c>
    </row>
    <row r="3" spans="1:4" ht="21" customHeight="1" x14ac:dyDescent="0.25">
      <c r="A3" s="12" t="s">
        <v>62</v>
      </c>
      <c r="B3" s="258" t="s">
        <v>26</v>
      </c>
      <c r="C3" s="12" t="s">
        <v>2958</v>
      </c>
      <c r="D3" s="12" t="s">
        <v>2664</v>
      </c>
    </row>
    <row r="4" spans="1:4" ht="21" customHeight="1" x14ac:dyDescent="0.25">
      <c r="A4" s="14" t="s">
        <v>81</v>
      </c>
      <c r="B4" s="258" t="s">
        <v>220</v>
      </c>
      <c r="D4" s="12" t="s">
        <v>2742</v>
      </c>
    </row>
    <row r="5" spans="1:4" ht="21" customHeight="1" x14ac:dyDescent="0.25">
      <c r="A5" s="12" t="s">
        <v>225</v>
      </c>
      <c r="D5" s="12" t="s">
        <v>21</v>
      </c>
    </row>
    <row r="6" spans="1:4" ht="21" customHeight="1" x14ac:dyDescent="0.25">
      <c r="D6" s="12" t="s">
        <v>2756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8161-7B79-4879-BA9D-BD56CAA1B494}">
  <dimension ref="A1:E12"/>
  <sheetViews>
    <sheetView workbookViewId="0">
      <selection activeCell="C8" sqref="C8"/>
    </sheetView>
  </sheetViews>
  <sheetFormatPr defaultColWidth="9.140625" defaultRowHeight="18" customHeight="1" x14ac:dyDescent="0.25"/>
  <cols>
    <col min="1" max="1" width="15.85546875" style="12" bestFit="1" customWidth="1"/>
    <col min="2" max="2" width="22" style="12" bestFit="1" customWidth="1"/>
    <col min="3" max="3" width="73.42578125" style="12" bestFit="1" customWidth="1"/>
    <col min="4" max="4" width="76.85546875" style="12" bestFit="1" customWidth="1"/>
    <col min="5" max="5" width="255.7109375" style="12" bestFit="1" customWidth="1"/>
    <col min="6" max="16384" width="9.140625" style="12"/>
  </cols>
  <sheetData>
    <row r="1" spans="1:5" ht="18" customHeight="1" x14ac:dyDescent="0.25">
      <c r="A1" s="12" t="s">
        <v>2929</v>
      </c>
      <c r="B1" s="12" t="s">
        <v>2930</v>
      </c>
      <c r="C1" s="13" t="s">
        <v>2931</v>
      </c>
      <c r="D1" s="13" t="s">
        <v>2932</v>
      </c>
      <c r="E1" s="13" t="s">
        <v>2933</v>
      </c>
    </row>
    <row r="2" spans="1:5" ht="18" customHeight="1" x14ac:dyDescent="0.25">
      <c r="A2" s="12" t="s">
        <v>2959</v>
      </c>
      <c r="B2" s="12" t="s">
        <v>2935</v>
      </c>
      <c r="C2" s="14" t="s">
        <v>24</v>
      </c>
      <c r="D2" s="12" t="s">
        <v>2936</v>
      </c>
      <c r="E2" s="18" t="s">
        <v>2960</v>
      </c>
    </row>
    <row r="3" spans="1:5" ht="18" customHeight="1" x14ac:dyDescent="0.25">
      <c r="A3" s="12" t="s">
        <v>2959</v>
      </c>
      <c r="B3" s="12" t="s">
        <v>2935</v>
      </c>
      <c r="C3" s="12" t="s">
        <v>68</v>
      </c>
      <c r="D3" s="12" t="s">
        <v>2938</v>
      </c>
      <c r="E3" s="12" t="s">
        <v>2961</v>
      </c>
    </row>
    <row r="4" spans="1:5" ht="18" customHeight="1" x14ac:dyDescent="0.25">
      <c r="A4" s="12" t="s">
        <v>2959</v>
      </c>
      <c r="B4" s="12" t="s">
        <v>2935</v>
      </c>
      <c r="C4" s="12" t="s">
        <v>72</v>
      </c>
      <c r="D4" s="12" t="s">
        <v>2941</v>
      </c>
      <c r="E4" s="12" t="s">
        <v>2962</v>
      </c>
    </row>
    <row r="5" spans="1:5" ht="27.75" customHeight="1" x14ac:dyDescent="0.25">
      <c r="A5" s="12" t="s">
        <v>2959</v>
      </c>
      <c r="B5" s="12" t="s">
        <v>2935</v>
      </c>
      <c r="C5" s="12" t="s">
        <v>2690</v>
      </c>
      <c r="D5" s="18" t="s">
        <v>2963</v>
      </c>
      <c r="E5" s="12" t="s">
        <v>2964</v>
      </c>
    </row>
    <row r="6" spans="1:5" ht="18" customHeight="1" x14ac:dyDescent="0.25">
      <c r="A6" s="12" t="s">
        <v>2959</v>
      </c>
      <c r="B6" s="12" t="s">
        <v>2935</v>
      </c>
      <c r="C6" s="12" t="s">
        <v>2727</v>
      </c>
      <c r="D6" s="12" t="s">
        <v>2943</v>
      </c>
      <c r="E6" s="12" t="s">
        <v>2944</v>
      </c>
    </row>
    <row r="7" spans="1:5" ht="18" customHeight="1" x14ac:dyDescent="0.25">
      <c r="A7" s="12" t="s">
        <v>2959</v>
      </c>
      <c r="B7" s="12" t="s">
        <v>2945</v>
      </c>
      <c r="C7" s="12" t="s">
        <v>2711</v>
      </c>
      <c r="D7" s="12" t="s">
        <v>2965</v>
      </c>
      <c r="E7" s="12" t="s">
        <v>2966</v>
      </c>
    </row>
    <row r="8" spans="1:5" ht="18" customHeight="1" x14ac:dyDescent="0.25">
      <c r="A8" s="12" t="s">
        <v>2959</v>
      </c>
      <c r="B8" s="12" t="s">
        <v>2945</v>
      </c>
      <c r="C8" s="12" t="s">
        <v>38</v>
      </c>
      <c r="D8" s="12" t="s">
        <v>2948</v>
      </c>
      <c r="E8" s="12" t="s">
        <v>2949</v>
      </c>
    </row>
    <row r="9" spans="1:5" ht="18" customHeight="1" x14ac:dyDescent="0.25">
      <c r="A9" s="12" t="s">
        <v>2959</v>
      </c>
      <c r="B9" s="12" t="s">
        <v>2945</v>
      </c>
      <c r="C9" s="12" t="s">
        <v>2695</v>
      </c>
      <c r="D9" s="12" t="s">
        <v>2967</v>
      </c>
      <c r="E9" s="18" t="s">
        <v>2968</v>
      </c>
    </row>
    <row r="10" spans="1:5" ht="18" customHeight="1" x14ac:dyDescent="0.25">
      <c r="A10" s="12" t="s">
        <v>2959</v>
      </c>
      <c r="B10" s="12" t="s">
        <v>2969</v>
      </c>
      <c r="C10" s="12" t="s">
        <v>2927</v>
      </c>
      <c r="D10" s="12" t="s">
        <v>2970</v>
      </c>
      <c r="E10" s="18" t="s">
        <v>2971</v>
      </c>
    </row>
    <row r="11" spans="1:5" ht="18" customHeight="1" x14ac:dyDescent="0.25">
      <c r="A11" s="12" t="s">
        <v>2959</v>
      </c>
      <c r="B11" s="12" t="s">
        <v>2969</v>
      </c>
      <c r="C11" s="12" t="s">
        <v>199</v>
      </c>
      <c r="D11" s="12" t="s">
        <v>23</v>
      </c>
      <c r="E11" s="12" t="s">
        <v>2953</v>
      </c>
    </row>
    <row r="12" spans="1:5" ht="18" customHeight="1" x14ac:dyDescent="0.25">
      <c r="A12" s="12" t="s">
        <v>2959</v>
      </c>
      <c r="B12" s="12" t="s">
        <v>2969</v>
      </c>
      <c r="C12" s="12" t="s">
        <v>364</v>
      </c>
      <c r="D12" s="12" t="s">
        <v>23</v>
      </c>
      <c r="E12" s="12" t="s">
        <v>2954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52C0-6CF6-4320-9AC4-40D83A6E13AC}">
  <dimension ref="A1:H20"/>
  <sheetViews>
    <sheetView showGridLines="0" workbookViewId="0">
      <pane ySplit="7" topLeftCell="A17" activePane="bottomLeft" state="frozen"/>
      <selection pane="bottomLeft" activeCell="E31" sqref="E31"/>
    </sheetView>
  </sheetViews>
  <sheetFormatPr defaultRowHeight="15" x14ac:dyDescent="0.25"/>
  <cols>
    <col min="1" max="1" width="10.42578125" customWidth="1"/>
    <col min="2" max="2" width="10.7109375" bestFit="1" customWidth="1"/>
    <col min="3" max="3" width="8.5703125" customWidth="1"/>
    <col min="4" max="4" width="66.7109375" customWidth="1"/>
    <col min="5" max="5" width="24.7109375" customWidth="1"/>
    <col min="6" max="6" width="14.28515625" customWidth="1"/>
    <col min="7" max="7" width="22.85546875" customWidth="1"/>
    <col min="8" max="8" width="16.140625" customWidth="1"/>
    <col min="9" max="9" width="8.5703125" customWidth="1"/>
  </cols>
  <sheetData>
    <row r="1" spans="1:8" ht="35.1" customHeight="1" x14ac:dyDescent="0.35">
      <c r="A1" s="288" t="s">
        <v>2972</v>
      </c>
      <c r="B1" s="288"/>
      <c r="C1" s="288"/>
      <c r="D1" s="288"/>
      <c r="E1" s="288"/>
      <c r="F1" s="288"/>
      <c r="G1" s="288"/>
      <c r="H1" s="288"/>
    </row>
    <row r="2" spans="1:8" x14ac:dyDescent="0.25">
      <c r="A2" s="130" t="s">
        <v>2973</v>
      </c>
    </row>
    <row r="4" spans="1:8" ht="21.95" customHeight="1" x14ac:dyDescent="0.25">
      <c r="A4" s="289" t="s">
        <v>2974</v>
      </c>
      <c r="B4" s="290"/>
      <c r="D4" s="289" t="s">
        <v>2975</v>
      </c>
      <c r="E4" s="290"/>
      <c r="G4" s="289" t="s">
        <v>2976</v>
      </c>
      <c r="H4" s="290"/>
    </row>
    <row r="5" spans="1:8" ht="35.1" customHeight="1" x14ac:dyDescent="0.25">
      <c r="A5" s="293">
        <f>COUNTIF('Ações InCompany'!E:E,"*maratona*")</f>
        <v>13</v>
      </c>
      <c r="B5" s="292"/>
      <c r="D5" s="291">
        <f>SUM(H8:H100)</f>
        <v>1762</v>
      </c>
      <c r="E5" s="292"/>
      <c r="G5" s="291">
        <f>IFERROR(ROUND(D5/A5,0),"-")</f>
        <v>136</v>
      </c>
      <c r="H5" s="292"/>
    </row>
    <row r="6" spans="1:8" ht="9.9499999999999993" customHeight="1" x14ac:dyDescent="0.25"/>
    <row r="7" spans="1:8" ht="24.95" customHeight="1" thickBot="1" x14ac:dyDescent="0.3">
      <c r="A7" s="143" t="s">
        <v>2977</v>
      </c>
      <c r="B7" s="143" t="s">
        <v>2978</v>
      </c>
      <c r="C7" s="143" t="s">
        <v>1</v>
      </c>
      <c r="D7" s="143" t="s">
        <v>2979</v>
      </c>
      <c r="E7" s="143" t="s">
        <v>2980</v>
      </c>
      <c r="F7" s="143" t="s">
        <v>2848</v>
      </c>
      <c r="G7" s="143" t="s">
        <v>5</v>
      </c>
      <c r="H7" s="143" t="s">
        <v>2981</v>
      </c>
    </row>
    <row r="8" spans="1:8" ht="20.100000000000001" customHeight="1" x14ac:dyDescent="0.25">
      <c r="A8" s="131" cm="1">
        <f t="array" ref="A8:A20">IFERROR(_xlfn.SEQUENCE(COUNTIF('Ações InCompany'!E:E,"*maratona*")),"")</f>
        <v>1</v>
      </c>
      <c r="B8" s="228" cm="1">
        <f t="array" ref="B8:H20">_xlfn._xlws.SORT(_xlfn._xlws.FILTER(CHOOSE({1,2,3,4,5,6,7},'Ações InCompany'!I2:I999,'Ações InCompany'!B2:B999,'Ações InCompany'!E2:E999,'Ações InCompany'!H2:H999,'Ações InCompany'!C2:C999,'Ações InCompany'!F2:F999,'Ações InCompany'!R2:R999),ISNUMBER(SEARCH("maratona",'Ações InCompany'!E2:E999))),1,1)</f>
        <v>45092</v>
      </c>
      <c r="C8" s="132">
        <v>2023</v>
      </c>
      <c r="D8" s="140" t="str">
        <v>Maratona Temática: Auditoria em saúde</v>
      </c>
      <c r="E8" s="132" t="str">
        <v>15 e 16/06/2023</v>
      </c>
      <c r="F8" s="132" t="str">
        <v>Realizado</v>
      </c>
      <c r="G8" s="132" t="str">
        <v>Servidores do TCDF</v>
      </c>
      <c r="H8" s="133">
        <v>184</v>
      </c>
    </row>
    <row r="9" spans="1:8" ht="20.100000000000001" customHeight="1" x14ac:dyDescent="0.25">
      <c r="A9" s="134">
        <v>2</v>
      </c>
      <c r="B9" s="229">
        <v>45154</v>
      </c>
      <c r="C9" s="135">
        <v>2023</v>
      </c>
      <c r="D9" s="141" t="str">
        <v>Maratona temática: auditoria em mobilidade urbana</v>
      </c>
      <c r="E9" s="135" t="str">
        <v>16 a 18/08/2023</v>
      </c>
      <c r="F9" s="135" t="str">
        <v>Realizado</v>
      </c>
      <c r="G9" s="135" t="str">
        <v>Servidores do TCDF</v>
      </c>
      <c r="H9" s="136">
        <v>64</v>
      </c>
    </row>
    <row r="10" spans="1:8" ht="20.100000000000001" customHeight="1" x14ac:dyDescent="0.25">
      <c r="A10" s="137">
        <v>3</v>
      </c>
      <c r="B10" s="230">
        <v>45239</v>
      </c>
      <c r="C10" s="138">
        <v>2023</v>
      </c>
      <c r="D10" s="142" t="str">
        <v>Maratona temática: primeira infância</v>
      </c>
      <c r="E10" s="138" t="str">
        <v>09 e 10/11/2023</v>
      </c>
      <c r="F10" s="138" t="str">
        <v>Realizado</v>
      </c>
      <c r="G10" s="138" t="str">
        <v>Sociedade</v>
      </c>
      <c r="H10" s="139">
        <v>91</v>
      </c>
    </row>
    <row r="11" spans="1:8" ht="20.100000000000001" customHeight="1" x14ac:dyDescent="0.25">
      <c r="A11" s="134">
        <v>4</v>
      </c>
      <c r="B11" s="229">
        <v>45264</v>
      </c>
      <c r="C11" s="135">
        <v>2023</v>
      </c>
      <c r="D11" s="141" t="str">
        <v>Maratona Temática: auditoria em resíduos sólidos</v>
      </c>
      <c r="E11" s="135" t="str">
        <v>04 e 05/12/2023</v>
      </c>
      <c r="F11" s="135" t="str">
        <v>Realizado</v>
      </c>
      <c r="G11" s="135" t="str">
        <v>Servidores do TCDF</v>
      </c>
      <c r="H11" s="136">
        <v>85</v>
      </c>
    </row>
    <row r="12" spans="1:8" ht="20.100000000000001" customHeight="1" x14ac:dyDescent="0.25">
      <c r="A12" s="137">
        <v>5</v>
      </c>
      <c r="B12" s="230">
        <v>45456</v>
      </c>
      <c r="C12" s="138">
        <v>2024</v>
      </c>
      <c r="D12" s="142" t="str">
        <v>Maratona Temática - educação</v>
      </c>
      <c r="E12" s="138" t="str">
        <v>13 e 14/06/2024</v>
      </c>
      <c r="F12" s="138" t="str">
        <v>Realizado</v>
      </c>
      <c r="G12" s="138" t="str">
        <v>Sociedade</v>
      </c>
      <c r="H12" s="139">
        <v>155</v>
      </c>
    </row>
    <row r="13" spans="1:8" ht="20.100000000000001" customHeight="1" x14ac:dyDescent="0.25">
      <c r="A13" s="134">
        <v>6</v>
      </c>
      <c r="B13" s="229">
        <v>45624</v>
      </c>
      <c r="C13" s="135">
        <v>2024</v>
      </c>
      <c r="D13" s="141" t="str">
        <v>Maratona temática - Governança em Saúde</v>
      </c>
      <c r="E13" s="135" t="str">
        <v>28 e 29/11/2024</v>
      </c>
      <c r="F13" s="135" t="str">
        <v>Realizado</v>
      </c>
      <c r="G13" s="135" t="str">
        <v>Jurisdicionados</v>
      </c>
      <c r="H13" s="136">
        <v>138</v>
      </c>
    </row>
    <row r="14" spans="1:8" ht="20.100000000000001" customHeight="1" x14ac:dyDescent="0.25">
      <c r="A14" s="137">
        <v>7</v>
      </c>
      <c r="B14" s="230">
        <v>45750</v>
      </c>
      <c r="C14" s="138">
        <v>2025</v>
      </c>
      <c r="D14" s="142" t="str">
        <v>Maratona Temática: Obras Públicas</v>
      </c>
      <c r="E14" s="138" t="str">
        <v>03 e 04/04/2025</v>
      </c>
      <c r="F14" s="138" t="str">
        <v>Realizado</v>
      </c>
      <c r="G14" s="138" t="str">
        <v>Jurisdicionados</v>
      </c>
      <c r="H14" s="139">
        <v>250</v>
      </c>
    </row>
    <row r="15" spans="1:8" ht="20.100000000000001" customHeight="1" x14ac:dyDescent="0.25">
      <c r="A15" s="134">
        <v>8</v>
      </c>
      <c r="B15" s="229">
        <v>45925</v>
      </c>
      <c r="C15" s="135">
        <v>2025</v>
      </c>
      <c r="D15" s="141" t="str">
        <v>Maratona Temática “O Olhar dos Tribunais de Contas sobre Políticas Públicas"</v>
      </c>
      <c r="E15" s="135" t="str">
        <v>25 e 26/09/2025</v>
      </c>
      <c r="F15" s="135" t="str">
        <v>Realizado</v>
      </c>
      <c r="G15" s="135" t="str">
        <v>Sociedade</v>
      </c>
      <c r="H15" s="136">
        <v>228</v>
      </c>
    </row>
    <row r="16" spans="1:8" ht="20.100000000000001" customHeight="1" x14ac:dyDescent="0.25">
      <c r="A16" s="137">
        <v>9</v>
      </c>
      <c r="B16" s="230">
        <v>45950</v>
      </c>
      <c r="C16" s="138">
        <v>2025</v>
      </c>
      <c r="D16" s="142" t="str">
        <v>Maratona Temática: Segurança Pública</v>
      </c>
      <c r="E16" s="138" t="str">
        <v>20 e 21/10/2025</v>
      </c>
      <c r="F16" s="138" t="str">
        <v>Realizado</v>
      </c>
      <c r="G16" s="138" t="str">
        <v>Sociedade</v>
      </c>
      <c r="H16" s="139">
        <v>179</v>
      </c>
    </row>
    <row r="17" spans="1:8" ht="20.100000000000001" customHeight="1" x14ac:dyDescent="0.25">
      <c r="A17" s="134">
        <v>10</v>
      </c>
      <c r="B17" s="229">
        <v>46111</v>
      </c>
      <c r="C17" s="135">
        <v>2026</v>
      </c>
      <c r="D17" s="141" t="str">
        <v>Maratona Temática: Transparência Pública</v>
      </c>
      <c r="E17" s="135" t="str">
        <v>30 a 31/03/2026</v>
      </c>
      <c r="F17" s="135" t="str">
        <v>Realizado</v>
      </c>
      <c r="G17" s="135" t="str">
        <v>Jurisdicionados</v>
      </c>
      <c r="H17" s="136">
        <v>192</v>
      </c>
    </row>
    <row r="18" spans="1:8" ht="20.100000000000001" customHeight="1" x14ac:dyDescent="0.25">
      <c r="A18" s="137">
        <v>11</v>
      </c>
      <c r="B18" s="230">
        <v>46195</v>
      </c>
      <c r="C18" s="138">
        <v>2026</v>
      </c>
      <c r="D18" s="142" t="str">
        <v>3ª Maratona Temática em Saúde Pública - Boas Práticas</v>
      </c>
      <c r="E18" s="138" t="str">
        <v>22 e 23/06/2026</v>
      </c>
      <c r="F18" s="138" t="str">
        <v>Realizado</v>
      </c>
      <c r="G18" s="138" t="str">
        <v>Jurisdicionados</v>
      </c>
      <c r="H18" s="139">
        <v>196</v>
      </c>
    </row>
    <row r="19" spans="1:8" x14ac:dyDescent="0.25">
      <c r="A19" s="231">
        <v>12</v>
      </c>
      <c r="B19" s="232">
        <v>46321</v>
      </c>
      <c r="C19" s="231">
        <v>2026</v>
      </c>
      <c r="D19" s="233" t="str">
        <v>Maratona Temática - Obras Públicas</v>
      </c>
      <c r="E19" s="231" t="str">
        <v>26 e 27/10/2026</v>
      </c>
      <c r="F19" s="231" t="str">
        <v>A realizar</v>
      </c>
      <c r="G19" s="231" t="str">
        <v>Jurisdicionados</v>
      </c>
      <c r="H19" s="234">
        <v>0</v>
      </c>
    </row>
    <row r="20" spans="1:8" x14ac:dyDescent="0.25">
      <c r="A20" s="235">
        <v>13</v>
      </c>
      <c r="B20" s="236">
        <v>46335</v>
      </c>
      <c r="C20" s="235">
        <v>2026</v>
      </c>
      <c r="D20" s="237" t="str">
        <v>Maratona Temática - Mobilidade Urbana</v>
      </c>
      <c r="E20" s="235" t="str">
        <v>09 e 10/11/2026</v>
      </c>
      <c r="F20" s="235" t="str">
        <v>A realizar</v>
      </c>
      <c r="G20" s="235" t="str">
        <v>Jurisdicionados</v>
      </c>
      <c r="H20" s="238">
        <v>0</v>
      </c>
    </row>
  </sheetData>
  <mergeCells count="7">
    <mergeCell ref="A1:H1"/>
    <mergeCell ref="D4:E4"/>
    <mergeCell ref="D5:E5"/>
    <mergeCell ref="A4:B4"/>
    <mergeCell ref="A5:B5"/>
    <mergeCell ref="G4:H4"/>
    <mergeCell ref="G5:H5"/>
  </mergeCells>
  <conditionalFormatting sqref="A8:H30">
    <cfRule type="expression" dxfId="0" priority="1">
      <formula>$F8="A realizar"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F7BD-0D2E-4307-90B5-801282F5B390}">
  <dimension ref="A1:G105"/>
  <sheetViews>
    <sheetView workbookViewId="0">
      <pane ySplit="4" topLeftCell="A8" activePane="bottomLeft" state="frozen"/>
      <selection pane="bottomLeft" activeCell="F25" sqref="F25"/>
    </sheetView>
  </sheetViews>
  <sheetFormatPr defaultRowHeight="15" x14ac:dyDescent="0.25"/>
  <cols>
    <col min="1" max="1" width="57.140625" customWidth="1"/>
    <col min="2" max="6" width="22.85546875" customWidth="1"/>
  </cols>
  <sheetData>
    <row r="1" spans="1:7" ht="18.75" x14ac:dyDescent="0.3">
      <c r="A1" s="294" t="s">
        <v>2982</v>
      </c>
      <c r="B1" s="294"/>
      <c r="C1" s="294"/>
      <c r="D1" s="294"/>
      <c r="E1" s="294"/>
      <c r="F1" s="294"/>
    </row>
    <row r="2" spans="1:7" x14ac:dyDescent="0.25">
      <c r="A2" s="295" t="s">
        <v>2983</v>
      </c>
      <c r="B2" s="295"/>
      <c r="C2" s="295"/>
      <c r="D2" s="295"/>
      <c r="E2" s="295"/>
      <c r="F2" s="295"/>
    </row>
    <row r="4" spans="1:7" x14ac:dyDescent="0.25">
      <c r="A4" s="102" t="s">
        <v>19</v>
      </c>
      <c r="B4" s="102" t="s">
        <v>2851</v>
      </c>
      <c r="C4" s="102" t="s">
        <v>2852</v>
      </c>
      <c r="D4" s="102" t="s">
        <v>2984</v>
      </c>
      <c r="E4" s="102" t="s">
        <v>2853</v>
      </c>
      <c r="F4" s="102" t="s">
        <v>2985</v>
      </c>
    </row>
    <row r="5" spans="1:7" x14ac:dyDescent="0.25">
      <c r="A5" t="str" cm="1">
        <f t="array" ref="A5:A44">IFERROR(_xlfn._xlws.SORT(_xlfn.UNIQUE(_xlfn._xlws.FILTER(_xlfn.VSTACK('GECC 2026'!F2:F200,'GECC 2026'!AD3:AD32),_xlfn.VSTACK('GECC 2026'!F2:F200,'GECC 2026'!AD3:AD32)&lt;&gt;""))),"")</f>
        <v>Adriana Cuoco Portugal</v>
      </c>
      <c r="B5" s="103">
        <f>IF($A5="","",SUMIFS('GECC 2026'!H$2:H$200,'GECC 2026'!F$2:F$200,$A5))</f>
        <v>40</v>
      </c>
      <c r="C5" s="103">
        <f>IF($A5="","",SUMIFS('GECC 2026'!I$2:I$200,'GECC 2026'!F$2:F$200,$A5))</f>
        <v>5.2800000000000011</v>
      </c>
      <c r="D5" s="255">
        <f>IF($A5="","",SUMIFS('GECC 2026'!$AE$3:$AE$32,'GECC 2026'!$AD$3:$AD$32,$A5))</f>
        <v>0</v>
      </c>
      <c r="E5" s="240">
        <f>IF($A5="","",SUMIFS('GECC 2026'!J$2:J$200,'GECC 2026'!F$2:F$200,$A5)+SUMIFS('GECC 2026'!$AE$3:$AE$32,'GECC 2026'!$AD$3:$AD$32,$A5))</f>
        <v>45.280000000000008</v>
      </c>
      <c r="F5" s="101">
        <f>IF($A5="","",COUNTIFS('GECC 2026'!F$2:F$200,$A5))</f>
        <v>10</v>
      </c>
      <c r="G5" s="101">
        <f>IF($A5="","",COUNTIFS('GECC 2026'!G$2:G$200,$A5))</f>
        <v>0</v>
      </c>
    </row>
    <row r="6" spans="1:7" x14ac:dyDescent="0.25">
      <c r="A6" t="str">
        <v>Adriana Magalhães</v>
      </c>
      <c r="B6" s="103">
        <f>IF($A6="","",SUMIFS('GECC 2026'!H$2:H$200,'GECC 2026'!F$2:F$200,$A6))</f>
        <v>24</v>
      </c>
      <c r="C6" s="103">
        <f>IF($A6="","",SUMIFS('GECC 2026'!I$2:I$200,'GECC 2026'!F$2:F$200,$A6))</f>
        <v>3.5999999999999996</v>
      </c>
      <c r="D6" s="255">
        <f>IF($A6="","",SUMIFS('GECC 2026'!$AE$3:$AE$32,'GECC 2026'!$AD$3:$AD$32,$A6))</f>
        <v>0</v>
      </c>
      <c r="E6" s="240">
        <f>IF($A6="","",SUMIFS('GECC 2026'!J$2:J$200,'GECC 2026'!F$2:F$200,$A6)+SUMIFS('GECC 2026'!$AE$3:$AE$32,'GECC 2026'!$AD$3:$AD$32,$A6))</f>
        <v>27.6</v>
      </c>
      <c r="F6" s="101">
        <f>IF($A6="","",COUNTIFS('GECC 2026'!F$2:F$200,$A6))</f>
        <v>2</v>
      </c>
    </row>
    <row r="7" spans="1:7" x14ac:dyDescent="0.25">
      <c r="A7" t="str">
        <v>Alinne Patrícia de Andrade Carvalho</v>
      </c>
      <c r="B7" s="103">
        <f>IF($A7="","",SUMIFS('GECC 2026'!H$2:H$200,'GECC 2026'!F$2:F$200,$A7))</f>
        <v>0</v>
      </c>
      <c r="C7" s="103">
        <f>IF($A7="","",SUMIFS('GECC 2026'!I$2:I$200,'GECC 2026'!F$2:F$200,$A7))</f>
        <v>0</v>
      </c>
      <c r="D7" s="255">
        <f>IF($A7="","",SUMIFS('GECC 2026'!$AE$3:$AE$32,'GECC 2026'!$AD$3:$AD$32,$A7))</f>
        <v>0</v>
      </c>
      <c r="E7" s="240">
        <f>IF($A7="","",SUMIFS('GECC 2026'!J$2:J$200,'GECC 2026'!F$2:F$200,$A7)+SUMIFS('GECC 2026'!$AE$3:$AE$32,'GECC 2026'!$AD$3:$AD$32,$A7))</f>
        <v>0</v>
      </c>
      <c r="F7" s="101">
        <f>IF($A7="","",COUNTIFS('GECC 2026'!F$2:F$200,$A7))</f>
        <v>1</v>
      </c>
    </row>
    <row r="8" spans="1:7" x14ac:dyDescent="0.25">
      <c r="A8" t="str">
        <v>Arthur Wú</v>
      </c>
      <c r="B8" s="103">
        <f>IF($A8="","",SUMIFS('GECC 2026'!H$2:H$200,'GECC 2026'!F$2:F$200,$A8))</f>
        <v>41</v>
      </c>
      <c r="C8" s="103">
        <f>IF($A8="","",SUMIFS('GECC 2026'!I$2:I$200,'GECC 2026'!F$2:F$200,$A8))</f>
        <v>12.6</v>
      </c>
      <c r="D8" s="255">
        <f>IF($A8="","",SUMIFS('GECC 2026'!$AE$3:$AE$32,'GECC 2026'!$AD$3:$AD$32,$A8))</f>
        <v>0</v>
      </c>
      <c r="E8" s="240">
        <f>IF($A8="","",SUMIFS('GECC 2026'!J$2:J$200,'GECC 2026'!F$2:F$200,$A8)+SUMIFS('GECC 2026'!$AE$3:$AE$32,'GECC 2026'!$AD$3:$AD$32,$A8))</f>
        <v>53.6</v>
      </c>
      <c r="F8" s="101">
        <f>IF($A8="","",COUNTIFS('GECC 2026'!F$2:F$200,$A8))</f>
        <v>6</v>
      </c>
    </row>
    <row r="9" spans="1:7" x14ac:dyDescent="0.25">
      <c r="A9" t="str">
        <v>Carolina Pereira de Oliveira</v>
      </c>
      <c r="B9" s="103">
        <f>IF($A9="","",SUMIFS('GECC 2026'!H$2:H$200,'GECC 2026'!F$2:F$200,$A9))</f>
        <v>1</v>
      </c>
      <c r="C9" s="103">
        <f>IF($A9="","",SUMIFS('GECC 2026'!I$2:I$200,'GECC 2026'!F$2:F$200,$A9))</f>
        <v>0.3</v>
      </c>
      <c r="D9" s="255">
        <f>IF($A9="","",SUMIFS('GECC 2026'!$AE$3:$AE$32,'GECC 2026'!$AD$3:$AD$32,$A9))</f>
        <v>0</v>
      </c>
      <c r="E9" s="240">
        <f>IF($A9="","",SUMIFS('GECC 2026'!J$2:J$200,'GECC 2026'!F$2:F$200,$A9)+SUMIFS('GECC 2026'!$AE$3:$AE$32,'GECC 2026'!$AD$3:$AD$32,$A9))</f>
        <v>1.3</v>
      </c>
      <c r="F9" s="101">
        <f>IF($A9="","",COUNTIFS('GECC 2026'!F$2:F$200,$A9))</f>
        <v>1</v>
      </c>
    </row>
    <row r="10" spans="1:7" x14ac:dyDescent="0.25">
      <c r="A10" t="str">
        <v>Cássio Murilo Alves Costa Filho</v>
      </c>
      <c r="B10" s="103">
        <f>IF($A10="","",SUMIFS('GECC 2026'!H$2:H$200,'GECC 2026'!F$2:F$200,$A10))</f>
        <v>16</v>
      </c>
      <c r="C10" s="103">
        <f>IF($A10="","",SUMIFS('GECC 2026'!I$2:I$200,'GECC 2026'!F$2:F$200,$A10))</f>
        <v>4.8</v>
      </c>
      <c r="D10" s="255">
        <f>IF($A10="","",SUMIFS('GECC 2026'!$AE$3:$AE$32,'GECC 2026'!$AD$3:$AD$32,$A10))</f>
        <v>16</v>
      </c>
      <c r="E10" s="240">
        <f>IF($A10="","",SUMIFS('GECC 2026'!J$2:J$200,'GECC 2026'!F$2:F$200,$A10)+SUMIFS('GECC 2026'!$AE$3:$AE$32,'GECC 2026'!$AD$3:$AD$32,$A10))</f>
        <v>36.799999999999997</v>
      </c>
      <c r="F10" s="101">
        <f>IF($A10="","",COUNTIFS('GECC 2026'!F$2:F$200,$A10))</f>
        <v>1</v>
      </c>
    </row>
    <row r="11" spans="1:7" x14ac:dyDescent="0.25">
      <c r="A11" t="str">
        <v>Cinthia Thais de Carvalho Luz Thomazi</v>
      </c>
      <c r="B11" s="103">
        <f>IF($A11="","",SUMIFS('GECC 2026'!H$2:H$200,'GECC 2026'!F$2:F$200,$A11))</f>
        <v>61</v>
      </c>
      <c r="C11" s="103">
        <f>IF($A11="","",SUMIFS('GECC 2026'!I$2:I$200,'GECC 2026'!F$2:F$200,$A11))</f>
        <v>7.9800000000000013</v>
      </c>
      <c r="D11" s="255">
        <f>IF($A11="","",SUMIFS('GECC 2026'!$AE$3:$AE$32,'GECC 2026'!$AD$3:$AD$32,$A11))</f>
        <v>0</v>
      </c>
      <c r="E11" s="240">
        <f>IF($A11="","",SUMIFS('GECC 2026'!J$2:J$200,'GECC 2026'!F$2:F$200,$A11)+SUMIFS('GECC 2026'!$AE$3:$AE$32,'GECC 2026'!$AD$3:$AD$32,$A11))</f>
        <v>68.98</v>
      </c>
      <c r="F11" s="101">
        <f>IF($A11="","",COUNTIFS('GECC 2026'!F$2:F$200,$A11))</f>
        <v>12</v>
      </c>
    </row>
    <row r="12" spans="1:7" x14ac:dyDescent="0.25">
      <c r="A12" t="str">
        <v>Davi Assunção Salvador Nery de Castro</v>
      </c>
      <c r="B12" s="103">
        <f>IF($A12="","",SUMIFS('GECC 2026'!H$2:H$200,'GECC 2026'!F$2:F$200,$A12))</f>
        <v>12</v>
      </c>
      <c r="C12" s="103">
        <f>IF($A12="","",SUMIFS('GECC 2026'!I$2:I$200,'GECC 2026'!F$2:F$200,$A12))</f>
        <v>1.2</v>
      </c>
      <c r="D12" s="255">
        <f>IF($A12="","",SUMIFS('GECC 2026'!$AE$3:$AE$32,'GECC 2026'!$AD$3:$AD$32,$A12))</f>
        <v>0</v>
      </c>
      <c r="E12" s="240">
        <f>IF($A12="","",SUMIFS('GECC 2026'!J$2:J$200,'GECC 2026'!F$2:F$200,$A12)+SUMIFS('GECC 2026'!$AE$3:$AE$32,'GECC 2026'!$AD$3:$AD$32,$A12))</f>
        <v>13.2</v>
      </c>
      <c r="F12" s="101">
        <f>IF($A12="","",COUNTIFS('GECC 2026'!F$2:F$200,$A12))</f>
        <v>1</v>
      </c>
    </row>
    <row r="13" spans="1:7" x14ac:dyDescent="0.25">
      <c r="A13" t="str">
        <v>David da Silva de Araújo</v>
      </c>
      <c r="B13" s="103">
        <f>IF($A13="","",SUMIFS('GECC 2026'!H$2:H$200,'GECC 2026'!F$2:F$200,$A13))</f>
        <v>12</v>
      </c>
      <c r="C13" s="103">
        <f>IF($A13="","",SUMIFS('GECC 2026'!I$2:I$200,'GECC 2026'!F$2:F$200,$A13))</f>
        <v>1.2</v>
      </c>
      <c r="D13" s="255">
        <f>IF($A13="","",SUMIFS('GECC 2026'!$AE$3:$AE$32,'GECC 2026'!$AD$3:$AD$32,$A13))</f>
        <v>0</v>
      </c>
      <c r="E13" s="240">
        <f>IF($A13="","",SUMIFS('GECC 2026'!J$2:J$200,'GECC 2026'!F$2:F$200,$A13)+SUMIFS('GECC 2026'!$AE$3:$AE$32,'GECC 2026'!$AD$3:$AD$32,$A13))</f>
        <v>13.2</v>
      </c>
      <c r="F13" s="101">
        <f>IF($A13="","",COUNTIFS('GECC 2026'!F$2:F$200,$A13))</f>
        <v>1</v>
      </c>
    </row>
    <row r="14" spans="1:7" x14ac:dyDescent="0.25">
      <c r="A14" t="str">
        <v>Denise Duarte Guirra Kuhlmann</v>
      </c>
      <c r="B14" s="103">
        <f>IF($A14="","",SUMIFS('GECC 2026'!H$2:H$200,'GECC 2026'!F$2:F$200,$A14))</f>
        <v>12</v>
      </c>
      <c r="C14" s="103">
        <f>IF($A14="","",SUMIFS('GECC 2026'!I$2:I$200,'GECC 2026'!F$2:F$200,$A14))</f>
        <v>2.6399999999999997</v>
      </c>
      <c r="D14" s="255">
        <f>IF($A14="","",SUMIFS('GECC 2026'!$AE$3:$AE$32,'GECC 2026'!$AD$3:$AD$32,$A14))</f>
        <v>0</v>
      </c>
      <c r="E14" s="240">
        <f>IF($A14="","",SUMIFS('GECC 2026'!J$2:J$200,'GECC 2026'!F$2:F$200,$A14)+SUMIFS('GECC 2026'!$AE$3:$AE$32,'GECC 2026'!$AD$3:$AD$32,$A14))</f>
        <v>14.64</v>
      </c>
      <c r="F14" s="101">
        <f>IF($A14="","",COUNTIFS('GECC 2026'!F$2:F$200,$A14))</f>
        <v>3</v>
      </c>
    </row>
    <row r="15" spans="1:7" x14ac:dyDescent="0.25">
      <c r="A15" t="str">
        <v>Diversos</v>
      </c>
      <c r="B15" s="103">
        <f>IF($A15="","",SUMIFS('GECC 2026'!H$2:H$200,'GECC 2026'!F$2:F$200,$A15))</f>
        <v>0</v>
      </c>
      <c r="C15" s="103">
        <f>IF($A15="","",SUMIFS('GECC 2026'!I$2:I$200,'GECC 2026'!F$2:F$200,$A15))</f>
        <v>0</v>
      </c>
      <c r="D15" s="255">
        <f>IF($A15="","",SUMIFS('GECC 2026'!$AE$3:$AE$32,'GECC 2026'!$AD$3:$AD$32,$A15))</f>
        <v>0</v>
      </c>
      <c r="E15" s="240">
        <f>IF($A15="","",SUMIFS('GECC 2026'!J$2:J$200,'GECC 2026'!F$2:F$200,$A15)+SUMIFS('GECC 2026'!$AE$3:$AE$32,'GECC 2026'!$AD$3:$AD$32,$A15))</f>
        <v>0</v>
      </c>
      <c r="F15" s="101">
        <f>IF($A15="","",COUNTIFS('GECC 2026'!F$2:F$200,$A15))</f>
        <v>2</v>
      </c>
    </row>
    <row r="16" spans="1:7" x14ac:dyDescent="0.25">
      <c r="A16" t="str">
        <v>Eustáquio Rabelo de Souza</v>
      </c>
      <c r="B16" s="103">
        <f>IF($A16="","",SUMIFS('GECC 2026'!H$2:H$200,'GECC 2026'!F$2:F$200,$A16))</f>
        <v>1</v>
      </c>
      <c r="C16" s="103">
        <f>IF($A16="","",SUMIFS('GECC 2026'!I$2:I$200,'GECC 2026'!F$2:F$200,$A16))</f>
        <v>0.3</v>
      </c>
      <c r="D16" s="255">
        <f>IF($A16="","",SUMIFS('GECC 2026'!$AE$3:$AE$32,'GECC 2026'!$AD$3:$AD$32,$A16))</f>
        <v>0</v>
      </c>
      <c r="E16" s="240">
        <f>IF($A16="","",SUMIFS('GECC 2026'!J$2:J$200,'GECC 2026'!F$2:F$200,$A16)+SUMIFS('GECC 2026'!$AE$3:$AE$32,'GECC 2026'!$AD$3:$AD$32,$A16))</f>
        <v>1.3</v>
      </c>
      <c r="F16" s="101">
        <f>IF($A16="","",COUNTIFS('GECC 2026'!F$2:F$200,$A16))</f>
        <v>1</v>
      </c>
    </row>
    <row r="17" spans="1:6" x14ac:dyDescent="0.25">
      <c r="A17" t="str">
        <v>Felipe da Costa Malaquias</v>
      </c>
      <c r="B17" s="103">
        <f>IF($A17="","",SUMIFS('GECC 2026'!H$2:H$200,'GECC 2026'!F$2:F$200,$A17))</f>
        <v>8</v>
      </c>
      <c r="C17" s="103">
        <f>IF($A17="","",SUMIFS('GECC 2026'!I$2:I$200,'GECC 2026'!F$2:F$200,$A17))</f>
        <v>37.299999999999997</v>
      </c>
      <c r="D17" s="255">
        <f>IF($A17="","",SUMIFS('GECC 2026'!$AE$3:$AE$32,'GECC 2026'!$AD$3:$AD$32,$A17))</f>
        <v>0</v>
      </c>
      <c r="E17" s="240">
        <f>IF($A17="","",SUMIFS('GECC 2026'!J$2:J$200,'GECC 2026'!F$2:F$200,$A17)+SUMIFS('GECC 2026'!$AE$3:$AE$32,'GECC 2026'!$AD$3:$AD$32,$A17))</f>
        <v>45.3</v>
      </c>
      <c r="F17" s="101">
        <f>IF($A17="","",COUNTIFS('GECC 2026'!F$2:F$200,$A17))</f>
        <v>2</v>
      </c>
    </row>
    <row r="18" spans="1:6" x14ac:dyDescent="0.25">
      <c r="A18" t="str">
        <v>Felipe Ramos Barbosa</v>
      </c>
      <c r="B18" s="103">
        <f>IF($A18="","",SUMIFS('GECC 2026'!H$2:H$200,'GECC 2026'!F$2:F$200,$A18))</f>
        <v>1</v>
      </c>
      <c r="C18" s="103">
        <f>IF($A18="","",SUMIFS('GECC 2026'!I$2:I$200,'GECC 2026'!F$2:F$200,$A18))</f>
        <v>0.3</v>
      </c>
      <c r="D18" s="255">
        <f>IF($A18="","",SUMIFS('GECC 2026'!$AE$3:$AE$32,'GECC 2026'!$AD$3:$AD$32,$A18))</f>
        <v>0</v>
      </c>
      <c r="E18" s="240">
        <f>IF($A18="","",SUMIFS('GECC 2026'!J$2:J$200,'GECC 2026'!F$2:F$200,$A18)+SUMIFS('GECC 2026'!$AE$3:$AE$32,'GECC 2026'!$AD$3:$AD$32,$A18))</f>
        <v>1.3</v>
      </c>
      <c r="F18" s="101">
        <f>IF($A18="","",COUNTIFS('GECC 2026'!F$2:F$200,$A18))</f>
        <v>1</v>
      </c>
    </row>
    <row r="19" spans="1:6" x14ac:dyDescent="0.25">
      <c r="A19" t="str">
        <v>Fernanda Viana de Souza</v>
      </c>
      <c r="B19" s="103">
        <f>IF($A19="","",SUMIFS('GECC 2026'!H$2:H$200,'GECC 2026'!F$2:F$200,$A19))</f>
        <v>39</v>
      </c>
      <c r="C19" s="103">
        <f>IF($A19="","",SUMIFS('GECC 2026'!I$2:I$200,'GECC 2026'!F$2:F$200,$A19))</f>
        <v>4.5300000000000011</v>
      </c>
      <c r="D19" s="255">
        <f>IF($A19="","",SUMIFS('GECC 2026'!$AE$3:$AE$32,'GECC 2026'!$AD$3:$AD$32,$A19))</f>
        <v>0</v>
      </c>
      <c r="E19" s="240">
        <f>IF($A19="","",SUMIFS('GECC 2026'!J$2:J$200,'GECC 2026'!F$2:F$200,$A19)+SUMIFS('GECC 2026'!$AE$3:$AE$32,'GECC 2026'!$AD$3:$AD$32,$A19))</f>
        <v>43.530000000000008</v>
      </c>
      <c r="F19" s="101">
        <f>IF($A19="","",COUNTIFS('GECC 2026'!F$2:F$200,$A19))</f>
        <v>10</v>
      </c>
    </row>
    <row r="20" spans="1:6" x14ac:dyDescent="0.25">
      <c r="A20" t="str">
        <v>Flávio José Fonseca de Souza</v>
      </c>
      <c r="B20" s="103">
        <f>IF($A20="","",SUMIFS('GECC 2026'!H$2:H$200,'GECC 2026'!F$2:F$200,$A20))</f>
        <v>8</v>
      </c>
      <c r="C20" s="103">
        <f>IF($A20="","",SUMIFS('GECC 2026'!I$2:I$200,'GECC 2026'!F$2:F$200,$A20))</f>
        <v>37.299999999999997</v>
      </c>
      <c r="D20" s="255">
        <f>IF($A20="","",SUMIFS('GECC 2026'!$AE$3:$AE$32,'GECC 2026'!$AD$3:$AD$32,$A20))</f>
        <v>0</v>
      </c>
      <c r="E20" s="240">
        <f>IF($A20="","",SUMIFS('GECC 2026'!J$2:J$200,'GECC 2026'!F$2:F$200,$A20)+SUMIFS('GECC 2026'!$AE$3:$AE$32,'GECC 2026'!$AD$3:$AD$32,$A20))</f>
        <v>45.3</v>
      </c>
      <c r="F20" s="101">
        <f>IF($A20="","",COUNTIFS('GECC 2026'!F$2:F$200,$A20))</f>
        <v>2</v>
      </c>
    </row>
    <row r="21" spans="1:6" x14ac:dyDescent="0.25">
      <c r="A21" t="str">
        <v>Gabriel Heller</v>
      </c>
      <c r="B21" s="103">
        <f>IF($A21="","",SUMIFS('GECC 2026'!H$2:H$200,'GECC 2026'!F$2:F$200,$A21))</f>
        <v>4</v>
      </c>
      <c r="C21" s="103">
        <f>IF($A21="","",SUMIFS('GECC 2026'!I$2:I$200,'GECC 2026'!F$2:F$200,$A21))</f>
        <v>33.200000000000003</v>
      </c>
      <c r="D21" s="255">
        <f>IF($A21="","",SUMIFS('GECC 2026'!$AE$3:$AE$32,'GECC 2026'!$AD$3:$AD$32,$A21))</f>
        <v>0</v>
      </c>
      <c r="E21" s="240">
        <f>IF($A21="","",SUMIFS('GECC 2026'!J$2:J$200,'GECC 2026'!F$2:F$200,$A21)+SUMIFS('GECC 2026'!$AE$3:$AE$32,'GECC 2026'!$AD$3:$AD$32,$A21))</f>
        <v>37.200000000000003</v>
      </c>
      <c r="F21" s="101">
        <f>IF($A21="","",COUNTIFS('GECC 2026'!F$2:F$200,$A21))</f>
        <v>2</v>
      </c>
    </row>
    <row r="22" spans="1:6" x14ac:dyDescent="0.25">
      <c r="A22" t="str">
        <v>Guilherme Bride Fernandes</v>
      </c>
      <c r="B22" s="103">
        <f>IF($A22="","",SUMIFS('GECC 2026'!H$2:H$200,'GECC 2026'!F$2:F$200,$A22))</f>
        <v>0</v>
      </c>
      <c r="C22" s="103">
        <f>IF($A22="","",SUMIFS('GECC 2026'!I$2:I$200,'GECC 2026'!F$2:F$200,$A22))</f>
        <v>0</v>
      </c>
      <c r="D22" s="255">
        <f>IF($A22="","",SUMIFS('GECC 2026'!$AE$3:$AE$32,'GECC 2026'!$AD$3:$AD$32,$A22))</f>
        <v>0</v>
      </c>
      <c r="E22" s="240">
        <f>IF($A22="","",SUMIFS('GECC 2026'!J$2:J$200,'GECC 2026'!F$2:F$200,$A22)+SUMIFS('GECC 2026'!$AE$3:$AE$32,'GECC 2026'!$AD$3:$AD$32,$A22))</f>
        <v>0</v>
      </c>
      <c r="F22" s="101">
        <f>IF($A22="","",COUNTIFS('GECC 2026'!F$2:F$200,$A22))</f>
        <v>1</v>
      </c>
    </row>
    <row r="23" spans="1:6" x14ac:dyDescent="0.25">
      <c r="A23" t="str">
        <v>Gustavo Takahashi</v>
      </c>
      <c r="B23" s="103">
        <f>IF($A23="","",SUMIFS('GECC 2026'!H$2:H$200,'GECC 2026'!F$2:F$200,$A23))</f>
        <v>33</v>
      </c>
      <c r="C23" s="103">
        <f>IF($A23="","",SUMIFS('GECC 2026'!I$2:I$200,'GECC 2026'!F$2:F$200,$A23))</f>
        <v>0</v>
      </c>
      <c r="D23" s="255">
        <f>IF($A23="","",SUMIFS('GECC 2026'!$AE$3:$AE$32,'GECC 2026'!$AD$3:$AD$32,$A23))</f>
        <v>0</v>
      </c>
      <c r="E23" s="240">
        <f>IF($A23="","",SUMIFS('GECC 2026'!J$2:J$200,'GECC 2026'!F$2:F$200,$A23)+SUMIFS('GECC 2026'!$AE$3:$AE$32,'GECC 2026'!$AD$3:$AD$32,$A23))</f>
        <v>33</v>
      </c>
      <c r="F23" s="101">
        <f>IF($A23="","",COUNTIFS('GECC 2026'!F$2:F$200,$A23))</f>
        <v>5</v>
      </c>
    </row>
    <row r="24" spans="1:6" x14ac:dyDescent="0.25">
      <c r="A24" t="str">
        <v>Hamilton de Jesus Lopes Neto</v>
      </c>
      <c r="B24" s="103">
        <f>IF($A24="","",SUMIFS('GECC 2026'!H$2:H$200,'GECC 2026'!F$2:F$200,$A24))</f>
        <v>12</v>
      </c>
      <c r="C24" s="103">
        <f>IF($A24="","",SUMIFS('GECC 2026'!I$2:I$200,'GECC 2026'!F$2:F$200,$A24))</f>
        <v>1.2</v>
      </c>
      <c r="D24" s="255">
        <f>IF($A24="","",SUMIFS('GECC 2026'!$AE$3:$AE$32,'GECC 2026'!$AD$3:$AD$32,$A24))</f>
        <v>0</v>
      </c>
      <c r="E24" s="240">
        <f>IF($A24="","",SUMIFS('GECC 2026'!J$2:J$200,'GECC 2026'!F$2:F$200,$A24)+SUMIFS('GECC 2026'!$AE$3:$AE$32,'GECC 2026'!$AD$3:$AD$32,$A24))</f>
        <v>13.2</v>
      </c>
      <c r="F24" s="101">
        <f>IF($A24="","",COUNTIFS('GECC 2026'!F$2:F$200,$A24))</f>
        <v>1</v>
      </c>
    </row>
    <row r="25" spans="1:6" x14ac:dyDescent="0.25">
      <c r="A25" t="str">
        <v>Igor Queiroz</v>
      </c>
      <c r="B25" s="103">
        <f>IF($A25="","",SUMIFS('GECC 2026'!H$2:H$200,'GECC 2026'!F$2:F$200,$A25))</f>
        <v>1</v>
      </c>
      <c r="C25" s="103">
        <f>IF($A25="","",SUMIFS('GECC 2026'!I$2:I$200,'GECC 2026'!F$2:F$200,$A25))</f>
        <v>0.3</v>
      </c>
      <c r="D25" s="255">
        <f>IF($A25="","",SUMIFS('GECC 2026'!$AE$3:$AE$32,'GECC 2026'!$AD$3:$AD$32,$A25))</f>
        <v>0</v>
      </c>
      <c r="E25" s="240">
        <f>IF($A25="","",SUMIFS('GECC 2026'!J$2:J$200,'GECC 2026'!F$2:F$200,$A25)+SUMIFS('GECC 2026'!$AE$3:$AE$32,'GECC 2026'!$AD$3:$AD$32,$A25))</f>
        <v>1.3</v>
      </c>
      <c r="F25" s="101">
        <f>IF($A25="","",COUNTIFS('GECC 2026'!F$2:F$200,$A25))</f>
        <v>1</v>
      </c>
    </row>
    <row r="26" spans="1:6" x14ac:dyDescent="0.25">
      <c r="A26" t="str">
        <v>Indio Artiaga do Brasil Rabelo</v>
      </c>
      <c r="B26" s="103">
        <f>IF($A26="","",SUMIFS('GECC 2026'!H$2:H$200,'GECC 2026'!F$2:F$200,$A26))</f>
        <v>12</v>
      </c>
      <c r="C26" s="103">
        <f>IF($A26="","",SUMIFS('GECC 2026'!I$2:I$200,'GECC 2026'!F$2:F$200,$A26))</f>
        <v>3.6</v>
      </c>
      <c r="D26" s="255">
        <f>IF($A26="","",SUMIFS('GECC 2026'!$AE$3:$AE$32,'GECC 2026'!$AD$3:$AD$32,$A26))</f>
        <v>0</v>
      </c>
      <c r="E26" s="240">
        <f>IF($A26="","",SUMIFS('GECC 2026'!J$2:J$200,'GECC 2026'!F$2:F$200,$A26)+SUMIFS('GECC 2026'!$AE$3:$AE$32,'GECC 2026'!$AD$3:$AD$32,$A26))</f>
        <v>15.6</v>
      </c>
      <c r="F26" s="101">
        <f>IF($A26="","",COUNTIFS('GECC 2026'!F$2:F$200,$A26))</f>
        <v>1</v>
      </c>
    </row>
    <row r="27" spans="1:6" x14ac:dyDescent="0.25">
      <c r="A27" t="str">
        <v>José Roberto Alcuri Júnior</v>
      </c>
      <c r="B27" s="103">
        <f>IF($A27="","",SUMIFS('GECC 2026'!H$2:H$200,'GECC 2026'!F$2:F$200,$A27))</f>
        <v>1</v>
      </c>
      <c r="C27" s="103">
        <f>IF($A27="","",SUMIFS('GECC 2026'!I$2:I$200,'GECC 2026'!F$2:F$200,$A27))</f>
        <v>0.3</v>
      </c>
      <c r="D27" s="255">
        <f>IF($A27="","",SUMIFS('GECC 2026'!$AE$3:$AE$32,'GECC 2026'!$AD$3:$AD$32,$A27))</f>
        <v>0</v>
      </c>
      <c r="E27" s="240">
        <f>IF($A27="","",SUMIFS('GECC 2026'!J$2:J$200,'GECC 2026'!F$2:F$200,$A27)+SUMIFS('GECC 2026'!$AE$3:$AE$32,'GECC 2026'!$AD$3:$AD$32,$A27))</f>
        <v>1.3</v>
      </c>
      <c r="F27" s="101">
        <f>IF($A27="","",COUNTIFS('GECC 2026'!F$2:F$200,$A27))</f>
        <v>1</v>
      </c>
    </row>
    <row r="28" spans="1:6" x14ac:dyDescent="0.25">
      <c r="A28" t="str">
        <v>Leonardo de Melo</v>
      </c>
      <c r="B28" s="103">
        <f>IF($A28="","",SUMIFS('GECC 2026'!H$2:H$200,'GECC 2026'!F$2:F$200,$A28))</f>
        <v>0</v>
      </c>
      <c r="C28" s="103">
        <f>IF($A28="","",SUMIFS('GECC 2026'!I$2:I$200,'GECC 2026'!F$2:F$200,$A28))</f>
        <v>0</v>
      </c>
      <c r="D28" s="255">
        <f>IF($A28="","",SUMIFS('GECC 2026'!$AE$3:$AE$32,'GECC 2026'!$AD$3:$AD$32,$A28))</f>
        <v>0</v>
      </c>
      <c r="E28" s="240">
        <f>IF($A28="","",SUMIFS('GECC 2026'!J$2:J$200,'GECC 2026'!F$2:F$200,$A28)+SUMIFS('GECC 2026'!$AE$3:$AE$32,'GECC 2026'!$AD$3:$AD$32,$A28))</f>
        <v>0</v>
      </c>
      <c r="F28" s="101">
        <f>IF($A28="","",COUNTIFS('GECC 2026'!F$2:F$200,$A28))</f>
        <v>1</v>
      </c>
    </row>
    <row r="29" spans="1:6" x14ac:dyDescent="0.25">
      <c r="A29" t="str">
        <v>Leonardo José Alves Leal Neri</v>
      </c>
      <c r="B29" s="103">
        <f>IF($A29="","",SUMIFS('GECC 2026'!H$2:H$200,'GECC 2026'!F$2:F$200,$A29))</f>
        <v>40</v>
      </c>
      <c r="C29" s="103">
        <f>IF($A29="","",SUMIFS('GECC 2026'!I$2:I$200,'GECC 2026'!F$2:F$200,$A29))</f>
        <v>12</v>
      </c>
      <c r="D29" s="255">
        <f>IF($A29="","",SUMIFS('GECC 2026'!$AE$3:$AE$32,'GECC 2026'!$AD$3:$AD$32,$A29))</f>
        <v>0</v>
      </c>
      <c r="E29" s="240">
        <f>IF($A29="","",SUMIFS('GECC 2026'!J$2:J$200,'GECC 2026'!F$2:F$200,$A29)+SUMIFS('GECC 2026'!$AE$3:$AE$32,'GECC 2026'!$AD$3:$AD$32,$A29))</f>
        <v>52</v>
      </c>
      <c r="F29" s="101">
        <f>IF($A29="","",COUNTIFS('GECC 2026'!F$2:F$200,$A29))</f>
        <v>2</v>
      </c>
    </row>
    <row r="30" spans="1:6" x14ac:dyDescent="0.25">
      <c r="A30" t="str">
        <v>Luciana Alvim</v>
      </c>
      <c r="B30" s="103">
        <f>IF($A30="","",SUMIFS('GECC 2026'!H$2:H$200,'GECC 2026'!F$2:F$200,$A30))</f>
        <v>60</v>
      </c>
      <c r="C30" s="103">
        <f>IF($A30="","",SUMIFS('GECC 2026'!I$2:I$200,'GECC 2026'!F$2:F$200,$A30))</f>
        <v>94</v>
      </c>
      <c r="D30" s="255">
        <f>IF($A30="","",SUMIFS('GECC 2026'!$AE$3:$AE$32,'GECC 2026'!$AD$3:$AD$32,$A30))</f>
        <v>0</v>
      </c>
      <c r="E30" s="240">
        <f>IF($A30="","",SUMIFS('GECC 2026'!J$2:J$200,'GECC 2026'!F$2:F$200,$A30)+SUMIFS('GECC 2026'!$AE$3:$AE$32,'GECC 2026'!$AD$3:$AD$32,$A30))</f>
        <v>154</v>
      </c>
      <c r="F30" s="101">
        <f>IF($A30="","",COUNTIFS('GECC 2026'!F$2:F$200,$A30))</f>
        <v>6</v>
      </c>
    </row>
    <row r="31" spans="1:6" x14ac:dyDescent="0.25">
      <c r="A31" t="str">
        <v>Luiz Felipe Tenório de Lima Gondim</v>
      </c>
      <c r="B31" s="103">
        <f>IF($A31="","",SUMIFS('GECC 2026'!H$2:H$200,'GECC 2026'!F$2:F$200,$A31))</f>
        <v>24</v>
      </c>
      <c r="C31" s="103">
        <f>IF($A31="","",SUMIFS('GECC 2026'!I$2:I$200,'GECC 2026'!F$2:F$200,$A31))</f>
        <v>1.44</v>
      </c>
      <c r="D31" s="255">
        <f>IF($A31="","",SUMIFS('GECC 2026'!$AE$3:$AE$32,'GECC 2026'!$AD$3:$AD$32,$A31))</f>
        <v>0</v>
      </c>
      <c r="E31" s="240">
        <f>IF($A31="","",SUMIFS('GECC 2026'!J$2:J$200,'GECC 2026'!F$2:F$200,$A31)+SUMIFS('GECC 2026'!$AE$3:$AE$32,'GECC 2026'!$AD$3:$AD$32,$A31))</f>
        <v>25.440000000000005</v>
      </c>
      <c r="F31" s="101">
        <f>IF($A31="","",COUNTIFS('GECC 2026'!F$2:F$200,$A31))</f>
        <v>6</v>
      </c>
    </row>
    <row r="32" spans="1:6" x14ac:dyDescent="0.25">
      <c r="A32" t="str">
        <v>Marcelo Bálbio Moraes</v>
      </c>
      <c r="B32" s="103">
        <f>IF($A32="","",SUMIFS('GECC 2026'!H$2:H$200,'GECC 2026'!F$2:F$200,$A32))</f>
        <v>0</v>
      </c>
      <c r="C32" s="103">
        <f>IF($A32="","",SUMIFS('GECC 2026'!I$2:I$200,'GECC 2026'!F$2:F$200,$A32))</f>
        <v>0</v>
      </c>
      <c r="D32" s="255">
        <f>IF($A32="","",SUMIFS('GECC 2026'!$AE$3:$AE$32,'GECC 2026'!$AD$3:$AD$32,$A32))</f>
        <v>16</v>
      </c>
      <c r="E32" s="240">
        <f>IF($A32="","",SUMIFS('GECC 2026'!J$2:J$200,'GECC 2026'!F$2:F$200,$A32)+SUMIFS('GECC 2026'!$AE$3:$AE$32,'GECC 2026'!$AD$3:$AD$32,$A32))</f>
        <v>16</v>
      </c>
      <c r="F32" s="101">
        <f>IF($A32="","",COUNTIFS('GECC 2026'!F$2:F$200,$A32))</f>
        <v>0</v>
      </c>
    </row>
    <row r="33" spans="1:6" x14ac:dyDescent="0.25">
      <c r="A33" t="str">
        <v>Marcelo Santana</v>
      </c>
      <c r="B33" s="103">
        <f>IF($A33="","",SUMIFS('GECC 2026'!H$2:H$200,'GECC 2026'!F$2:F$200,$A33))</f>
        <v>1</v>
      </c>
      <c r="C33" s="103">
        <f>IF($A33="","",SUMIFS('GECC 2026'!I$2:I$200,'GECC 2026'!F$2:F$200,$A33))</f>
        <v>0.3</v>
      </c>
      <c r="D33" s="255">
        <f>IF($A33="","",SUMIFS('GECC 2026'!$AE$3:$AE$32,'GECC 2026'!$AD$3:$AD$32,$A33))</f>
        <v>0</v>
      </c>
      <c r="E33" s="240">
        <f>IF($A33="","",SUMIFS('GECC 2026'!J$2:J$200,'GECC 2026'!F$2:F$200,$A33)+SUMIFS('GECC 2026'!$AE$3:$AE$32,'GECC 2026'!$AD$3:$AD$32,$A33))</f>
        <v>1.3</v>
      </c>
      <c r="F33" s="101">
        <f>IF($A33="","",COUNTIFS('GECC 2026'!F$2:F$200,$A33))</f>
        <v>1</v>
      </c>
    </row>
    <row r="34" spans="1:6" x14ac:dyDescent="0.25">
      <c r="A34" t="str">
        <v>Mauri Siqueira Montessi</v>
      </c>
      <c r="B34" s="103">
        <f>IF($A34="","",SUMIFS('GECC 2026'!H$2:H$200,'GECC 2026'!F$2:F$200,$A34))</f>
        <v>0</v>
      </c>
      <c r="C34" s="103">
        <f>IF($A34="","",SUMIFS('GECC 2026'!I$2:I$200,'GECC 2026'!F$2:F$200,$A34))</f>
        <v>0</v>
      </c>
      <c r="D34" s="255">
        <f>IF($A34="","",SUMIFS('GECC 2026'!$AE$3:$AE$32,'GECC 2026'!$AD$3:$AD$32,$A34))</f>
        <v>16</v>
      </c>
      <c r="E34" s="240">
        <f>IF($A34="","",SUMIFS('GECC 2026'!J$2:J$200,'GECC 2026'!F$2:F$200,$A34)+SUMIFS('GECC 2026'!$AE$3:$AE$32,'GECC 2026'!$AD$3:$AD$32,$A34))</f>
        <v>16</v>
      </c>
      <c r="F34" s="101">
        <f>IF($A34="","",COUNTIFS('GECC 2026'!F$2:F$200,$A34))</f>
        <v>0</v>
      </c>
    </row>
    <row r="35" spans="1:6" x14ac:dyDescent="0.25">
      <c r="A35" t="str">
        <v>Michel Martins de Morais</v>
      </c>
      <c r="B35" s="103">
        <f>IF($A35="","",SUMIFS('GECC 2026'!H$2:H$200,'GECC 2026'!F$2:F$200,$A35))</f>
        <v>0</v>
      </c>
      <c r="C35" s="103">
        <f>IF($A35="","",SUMIFS('GECC 2026'!I$2:I$200,'GECC 2026'!F$2:F$200,$A35))</f>
        <v>0</v>
      </c>
      <c r="D35" s="255">
        <f>IF($A35="","",SUMIFS('GECC 2026'!$AE$3:$AE$32,'GECC 2026'!$AD$3:$AD$32,$A35))</f>
        <v>16</v>
      </c>
      <c r="E35" s="240">
        <f>IF($A35="","",SUMIFS('GECC 2026'!J$2:J$200,'GECC 2026'!F$2:F$200,$A35)+SUMIFS('GECC 2026'!$AE$3:$AE$32,'GECC 2026'!$AD$3:$AD$32,$A35))</f>
        <v>16</v>
      </c>
      <c r="F35" s="101">
        <f>IF($A35="","",COUNTIFS('GECC 2026'!F$2:F$200,$A35))</f>
        <v>0</v>
      </c>
    </row>
    <row r="36" spans="1:6" x14ac:dyDescent="0.25">
      <c r="A36" t="str">
        <v>Paulo José Góes Daltro</v>
      </c>
      <c r="B36" s="103">
        <f>IF($A36="","",SUMIFS('GECC 2026'!H$2:H$200,'GECC 2026'!F$2:F$200,$A36))</f>
        <v>16</v>
      </c>
      <c r="C36" s="103">
        <f>IF($A36="","",SUMIFS('GECC 2026'!I$2:I$200,'GECC 2026'!F$2:F$200,$A36))</f>
        <v>4.8</v>
      </c>
      <c r="D36" s="255">
        <f>IF($A36="","",SUMIFS('GECC 2026'!$AE$3:$AE$32,'GECC 2026'!$AD$3:$AD$32,$A36))</f>
        <v>0</v>
      </c>
      <c r="E36" s="240">
        <f>IF($A36="","",SUMIFS('GECC 2026'!J$2:J$200,'GECC 2026'!F$2:F$200,$A36)+SUMIFS('GECC 2026'!$AE$3:$AE$32,'GECC 2026'!$AD$3:$AD$32,$A36))</f>
        <v>20.8</v>
      </c>
      <c r="F36" s="101">
        <f>IF($A36="","",COUNTIFS('GECC 2026'!F$2:F$200,$A36))</f>
        <v>3</v>
      </c>
    </row>
    <row r="37" spans="1:6" x14ac:dyDescent="0.25">
      <c r="A37" t="str">
        <v>Priscila Nolasco de Oliveira</v>
      </c>
      <c r="B37" s="103">
        <f>IF($A37="","",SUMIFS('GECC 2026'!H$2:H$200,'GECC 2026'!F$2:F$200,$A37))</f>
        <v>36</v>
      </c>
      <c r="C37" s="103">
        <f>IF($A37="","",SUMIFS('GECC 2026'!I$2:I$200,'GECC 2026'!F$2:F$200,$A37))</f>
        <v>2.16</v>
      </c>
      <c r="D37" s="255">
        <f>IF($A37="","",SUMIFS('GECC 2026'!$AE$3:$AE$32,'GECC 2026'!$AD$3:$AD$32,$A37))</f>
        <v>0</v>
      </c>
      <c r="E37" s="240">
        <f>IF($A37="","",SUMIFS('GECC 2026'!J$2:J$200,'GECC 2026'!F$2:F$200,$A37)+SUMIFS('GECC 2026'!$AE$3:$AE$32,'GECC 2026'!$AD$3:$AD$32,$A37))</f>
        <v>38.160000000000011</v>
      </c>
      <c r="F37" s="101">
        <f>IF($A37="","",COUNTIFS('GECC 2026'!F$2:F$200,$A37))</f>
        <v>9</v>
      </c>
    </row>
    <row r="38" spans="1:6" x14ac:dyDescent="0.25">
      <c r="A38" t="str">
        <v>Reinaldo Alencar</v>
      </c>
      <c r="B38" s="103">
        <f>IF($A38="","",SUMIFS('GECC 2026'!H$2:H$200,'GECC 2026'!F$2:F$200,$A38))</f>
        <v>48</v>
      </c>
      <c r="C38" s="103">
        <f>IF($A38="","",SUMIFS('GECC 2026'!I$2:I$200,'GECC 2026'!F$2:F$200,$A38))</f>
        <v>7.1999999999999993</v>
      </c>
      <c r="D38" s="255">
        <f>IF($A38="","",SUMIFS('GECC 2026'!$AE$3:$AE$32,'GECC 2026'!$AD$3:$AD$32,$A38))</f>
        <v>0</v>
      </c>
      <c r="E38" s="240">
        <f>IF($A38="","",SUMIFS('GECC 2026'!J$2:J$200,'GECC 2026'!F$2:F$200,$A38)+SUMIFS('GECC 2026'!$AE$3:$AE$32,'GECC 2026'!$AD$3:$AD$32,$A38))</f>
        <v>55.2</v>
      </c>
      <c r="F38" s="101">
        <f>IF($A38="","",COUNTIFS('GECC 2026'!F$2:F$200,$A38))</f>
        <v>3</v>
      </c>
    </row>
    <row r="39" spans="1:6" x14ac:dyDescent="0.25">
      <c r="A39" t="str">
        <v>Rogério Ribeiro</v>
      </c>
      <c r="B39" s="103">
        <f>IF($A39="","",SUMIFS('GECC 2026'!H$2:H$200,'GECC 2026'!F$2:F$200,$A39))</f>
        <v>48</v>
      </c>
      <c r="C39" s="103">
        <f>IF($A39="","",SUMIFS('GECC 2026'!I$2:I$200,'GECC 2026'!F$2:F$200,$A39))</f>
        <v>7.1999999999999993</v>
      </c>
      <c r="D39" s="255">
        <f>IF($A39="","",SUMIFS('GECC 2026'!$AE$3:$AE$32,'GECC 2026'!$AD$3:$AD$32,$A39))</f>
        <v>0</v>
      </c>
      <c r="E39" s="240">
        <f>IF($A39="","",SUMIFS('GECC 2026'!J$2:J$200,'GECC 2026'!F$2:F$200,$A39)+SUMIFS('GECC 2026'!$AE$3:$AE$32,'GECC 2026'!$AD$3:$AD$32,$A39))</f>
        <v>55.2</v>
      </c>
      <c r="F39" s="101">
        <f>IF($A39="","",COUNTIFS('GECC 2026'!F$2:F$200,$A39))</f>
        <v>3</v>
      </c>
    </row>
    <row r="40" spans="1:6" x14ac:dyDescent="0.25">
      <c r="A40" t="str">
        <v>Rômulo Miranda Alvim</v>
      </c>
      <c r="B40" s="103">
        <f>IF($A40="","",SUMIFS('GECC 2026'!H$2:H$200,'GECC 2026'!F$2:F$200,$A40))</f>
        <v>24</v>
      </c>
      <c r="C40" s="103">
        <f>IF($A40="","",SUMIFS('GECC 2026'!I$2:I$200,'GECC 2026'!F$2:F$200,$A40))</f>
        <v>3.6</v>
      </c>
      <c r="D40" s="255">
        <f>IF($A40="","",SUMIFS('GECC 2026'!$AE$3:$AE$32,'GECC 2026'!$AD$3:$AD$32,$A40))</f>
        <v>16</v>
      </c>
      <c r="E40" s="240">
        <f>IF($A40="","",SUMIFS('GECC 2026'!J$2:J$200,'GECC 2026'!F$2:F$200,$A40)+SUMIFS('GECC 2026'!$AE$3:$AE$32,'GECC 2026'!$AD$3:$AD$32,$A40))</f>
        <v>43.6</v>
      </c>
      <c r="F40" s="101">
        <f>IF($A40="","",COUNTIFS('GECC 2026'!F$2:F$200,$A40))</f>
        <v>2</v>
      </c>
    </row>
    <row r="41" spans="1:6" x14ac:dyDescent="0.25">
      <c r="A41" t="str">
        <v>Servidores, colaboradores e estagiários do TCDF</v>
      </c>
      <c r="B41" s="103">
        <f>IF($A41="","",SUMIFS('GECC 2026'!H$2:H$200,'GECC 2026'!F$2:F$200,$A41))</f>
        <v>0</v>
      </c>
      <c r="C41" s="103">
        <f>IF($A41="","",SUMIFS('GECC 2026'!I$2:I$200,'GECC 2026'!F$2:F$200,$A41))</f>
        <v>0</v>
      </c>
      <c r="D41" s="255">
        <f>IF($A41="","",SUMIFS('GECC 2026'!$AE$3:$AE$32,'GECC 2026'!$AD$3:$AD$32,$A41))</f>
        <v>0</v>
      </c>
      <c r="E41" s="240">
        <f>IF($A41="","",SUMIFS('GECC 2026'!J$2:J$200,'GECC 2026'!F$2:F$200,$A41)+SUMIFS('GECC 2026'!$AE$3:$AE$32,'GECC 2026'!$AD$3:$AD$32,$A41))</f>
        <v>0</v>
      </c>
      <c r="F41" s="101">
        <f>IF($A41="","",COUNTIFS('GECC 2026'!F$2:F$200,$A41))</f>
        <v>1</v>
      </c>
    </row>
    <row r="42" spans="1:6" x14ac:dyDescent="0.25">
      <c r="A42" t="str">
        <v>Silvia Lima Damasceno Carvalho</v>
      </c>
      <c r="B42" s="103">
        <f>IF($A42="","",SUMIFS('GECC 2026'!H$2:H$200,'GECC 2026'!F$2:F$200,$A42))</f>
        <v>1</v>
      </c>
      <c r="C42" s="103">
        <f>IF($A42="","",SUMIFS('GECC 2026'!I$2:I$200,'GECC 2026'!F$2:F$200,$A42))</f>
        <v>0.3</v>
      </c>
      <c r="D42" s="255">
        <f>IF($A42="","",SUMIFS('GECC 2026'!$AE$3:$AE$32,'GECC 2026'!$AD$3:$AD$32,$A42))</f>
        <v>0</v>
      </c>
      <c r="E42" s="240">
        <f>IF($A42="","",SUMIFS('GECC 2026'!J$2:J$200,'GECC 2026'!F$2:F$200,$A42)+SUMIFS('GECC 2026'!$AE$3:$AE$32,'GECC 2026'!$AD$3:$AD$32,$A42))</f>
        <v>1.3</v>
      </c>
      <c r="F42" s="101">
        <f>IF($A42="","",COUNTIFS('GECC 2026'!F$2:F$200,$A42))</f>
        <v>1</v>
      </c>
    </row>
    <row r="43" spans="1:6" x14ac:dyDescent="0.25">
      <c r="A43" t="str">
        <v>Tarsila Firmino Ely</v>
      </c>
      <c r="B43" s="103">
        <f>IF($A43="","",SUMIFS('GECC 2026'!H$2:H$200,'GECC 2026'!F$2:F$200,$A43))</f>
        <v>56</v>
      </c>
      <c r="C43" s="103">
        <f>IF($A43="","",SUMIFS('GECC 2026'!I$2:I$200,'GECC 2026'!F$2:F$200,$A43))</f>
        <v>96.4</v>
      </c>
      <c r="D43" s="255">
        <f>IF($A43="","",SUMIFS('GECC 2026'!$AE$3:$AE$32,'GECC 2026'!$AD$3:$AD$32,$A43))</f>
        <v>0</v>
      </c>
      <c r="E43" s="240">
        <f>IF($A43="","",SUMIFS('GECC 2026'!J$2:J$200,'GECC 2026'!F$2:F$200,$A43)+SUMIFS('GECC 2026'!$AE$3:$AE$32,'GECC 2026'!$AD$3:$AD$32,$A43))</f>
        <v>152.4</v>
      </c>
      <c r="F43" s="101">
        <f>IF($A43="","",COUNTIFS('GECC 2026'!F$2:F$200,$A43))</f>
        <v>5</v>
      </c>
    </row>
    <row r="44" spans="1:6" x14ac:dyDescent="0.25">
      <c r="A44" t="str">
        <v>Túllio Herbeth Teixeira Moraes</v>
      </c>
      <c r="B44" s="103">
        <f>IF($A44="","",SUMIFS('GECC 2026'!H$2:H$200,'GECC 2026'!F$2:F$200,$A44))</f>
        <v>3</v>
      </c>
      <c r="C44" s="103">
        <f>IF($A44="","",SUMIFS('GECC 2026'!I$2:I$200,'GECC 2026'!F$2:F$200,$A44))</f>
        <v>0.44999999999999996</v>
      </c>
      <c r="D44" s="255">
        <f>IF($A44="","",SUMIFS('GECC 2026'!$AE$3:$AE$32,'GECC 2026'!$AD$3:$AD$32,$A44))</f>
        <v>0</v>
      </c>
      <c r="E44" s="240">
        <f>IF($A44="","",SUMIFS('GECC 2026'!J$2:J$200,'GECC 2026'!F$2:F$200,$A44)+SUMIFS('GECC 2026'!$AE$3:$AE$32,'GECC 2026'!$AD$3:$AD$32,$A44))</f>
        <v>3.45</v>
      </c>
      <c r="F44" s="101">
        <f>IF($A44="","",COUNTIFS('GECC 2026'!F$2:F$200,$A44))</f>
        <v>1</v>
      </c>
    </row>
    <row r="45" spans="1:6" x14ac:dyDescent="0.25">
      <c r="B45" s="103" t="str">
        <f>IF($A45="","",SUMIFS('GECC 2026'!H$2:H$200,'GECC 2026'!F$2:F$200,$A45))</f>
        <v/>
      </c>
      <c r="C45" s="103" t="str">
        <f>IF($A45="","",SUMIFS('GECC 2026'!I$2:I$200,'GECC 2026'!F$2:F$200,$A45))</f>
        <v/>
      </c>
      <c r="D45" s="255" t="str">
        <f>IF($A45="","",SUMIFS('GECC 2026'!$AE$3:$AE$32,'GECC 2026'!$AD$3:$AD$32,$A45))</f>
        <v/>
      </c>
      <c r="E45" s="240" t="str">
        <f>IF($A45="","",SUMIFS('GECC 2026'!J$2:J$200,'GECC 2026'!F$2:F$200,$A45)+SUMIFS('GECC 2026'!$AE$3:$AE$32,'GECC 2026'!$AD$3:$AD$32,$A45))</f>
        <v/>
      </c>
      <c r="F45" s="101" t="str">
        <f>IF($A45="","",COUNTIFS('GECC 2026'!F$2:F$200,$A45))</f>
        <v/>
      </c>
    </row>
    <row r="46" spans="1:6" x14ac:dyDescent="0.25">
      <c r="B46" s="103" t="str">
        <f>IF($A46="","",SUMIFS('GECC 2026'!H$2:H$200,'GECC 2026'!F$2:F$200,$A46))</f>
        <v/>
      </c>
      <c r="C46" s="103" t="str">
        <f>IF($A46="","",SUMIFS('GECC 2026'!I$2:I$200,'GECC 2026'!F$2:F$200,$A46))</f>
        <v/>
      </c>
      <c r="D46" s="255" t="str">
        <f>IF($A46="","",SUMIFS('GECC 2026'!$AE$3:$AE$32,'GECC 2026'!$AD$3:$AD$32,$A46))</f>
        <v/>
      </c>
      <c r="E46" s="240" t="str">
        <f>IF($A46="","",SUMIFS('GECC 2026'!J$2:J$200,'GECC 2026'!F$2:F$200,$A46)+SUMIFS('GECC 2026'!$AE$3:$AE$32,'GECC 2026'!$AD$3:$AD$32,$A46))</f>
        <v/>
      </c>
      <c r="F46" s="101" t="str">
        <f>IF($A46="","",COUNTIFS('GECC 2026'!F$2:F$200,$A46))</f>
        <v/>
      </c>
    </row>
    <row r="47" spans="1:6" x14ac:dyDescent="0.25">
      <c r="B47" s="103" t="str">
        <f>IF($A47="","",SUMIFS('GECC 2026'!H$2:H$200,'GECC 2026'!F$2:F$200,$A47))</f>
        <v/>
      </c>
      <c r="C47" s="103" t="str">
        <f>IF($A47="","",SUMIFS('GECC 2026'!I$2:I$200,'GECC 2026'!F$2:F$200,$A47))</f>
        <v/>
      </c>
      <c r="D47" s="255" t="str">
        <f>IF($A47="","",SUMIFS('GECC 2026'!$AE$3:$AE$32,'GECC 2026'!$AD$3:$AD$32,$A47))</f>
        <v/>
      </c>
      <c r="E47" s="240" t="str">
        <f>IF($A47="","",SUMIFS('GECC 2026'!J$2:J$200,'GECC 2026'!F$2:F$200,$A47)+SUMIFS('GECC 2026'!$AE$3:$AE$32,'GECC 2026'!$AD$3:$AD$32,$A47))</f>
        <v/>
      </c>
      <c r="F47" s="101" t="str">
        <f>IF($A47="","",COUNTIFS('GECC 2026'!F$2:F$200,$A47))</f>
        <v/>
      </c>
    </row>
    <row r="48" spans="1:6" x14ac:dyDescent="0.25">
      <c r="B48" s="103" t="str">
        <f>IF($A48="","",SUMIFS('GECC 2026'!H$2:H$200,'GECC 2026'!F$2:F$200,$A48))</f>
        <v/>
      </c>
      <c r="C48" s="103" t="str">
        <f>IF($A48="","",SUMIFS('GECC 2026'!I$2:I$200,'GECC 2026'!F$2:F$200,$A48))</f>
        <v/>
      </c>
      <c r="D48" s="255" t="str">
        <f>IF($A48="","",SUMIFS('GECC 2026'!$AE$3:$AE$32,'GECC 2026'!$AD$3:$AD$32,$A48))</f>
        <v/>
      </c>
      <c r="E48" s="240" t="str">
        <f>IF($A48="","",SUMIFS('GECC 2026'!J$2:J$200,'GECC 2026'!F$2:F$200,$A48)+SUMIFS('GECC 2026'!$AE$3:$AE$32,'GECC 2026'!$AD$3:$AD$32,$A48))</f>
        <v/>
      </c>
      <c r="F48" s="101" t="str">
        <f>IF($A48="","",COUNTIFS('GECC 2026'!F$2:F$200,$A48))</f>
        <v/>
      </c>
    </row>
    <row r="49" spans="2:6" x14ac:dyDescent="0.25">
      <c r="B49" s="103" t="str">
        <f>IF($A49="","",SUMIFS('GECC 2026'!H$2:H$200,'GECC 2026'!F$2:F$200,$A49))</f>
        <v/>
      </c>
      <c r="C49" s="103" t="str">
        <f>IF($A49="","",SUMIFS('GECC 2026'!I$2:I$200,'GECC 2026'!F$2:F$200,$A49))</f>
        <v/>
      </c>
      <c r="D49" s="255" t="str">
        <f>IF($A49="","",SUMIFS('GECC 2026'!$AE$3:$AE$32,'GECC 2026'!$AD$3:$AD$32,$A49))</f>
        <v/>
      </c>
      <c r="E49" s="240" t="str">
        <f>IF($A49="","",SUMIFS('GECC 2026'!J$2:J$200,'GECC 2026'!F$2:F$200,$A49)+SUMIFS('GECC 2026'!$AE$3:$AE$32,'GECC 2026'!$AD$3:$AD$32,$A49))</f>
        <v/>
      </c>
      <c r="F49" s="101" t="str">
        <f>IF($A49="","",COUNTIFS('GECC 2026'!F$2:F$200,$A49))</f>
        <v/>
      </c>
    </row>
    <row r="50" spans="2:6" x14ac:dyDescent="0.25">
      <c r="B50" s="103" t="str">
        <f>IF($A50="","",SUMIFS('GECC 2026'!H$2:H$200,'GECC 2026'!F$2:F$200,$A50))</f>
        <v/>
      </c>
      <c r="C50" s="103" t="str">
        <f>IF($A50="","",SUMIFS('GECC 2026'!I$2:I$200,'GECC 2026'!F$2:F$200,$A50))</f>
        <v/>
      </c>
      <c r="D50" s="255" t="str">
        <f>IF($A50="","",SUMIFS('GECC 2026'!$AE$3:$AE$32,'GECC 2026'!$AD$3:$AD$32,$A50))</f>
        <v/>
      </c>
      <c r="E50" s="240" t="str">
        <f>IF($A50="","",SUMIFS('GECC 2026'!J$2:J$200,'GECC 2026'!F$2:F$200,$A50)+SUMIFS('GECC 2026'!$AE$3:$AE$32,'GECC 2026'!$AD$3:$AD$32,$A50))</f>
        <v/>
      </c>
      <c r="F50" s="101" t="str">
        <f>IF($A50="","",COUNTIFS('GECC 2026'!F$2:F$200,$A50))</f>
        <v/>
      </c>
    </row>
    <row r="51" spans="2:6" x14ac:dyDescent="0.25">
      <c r="B51" s="103" t="str">
        <f>IF($A51="","",SUMIFS('GECC 2026'!H$2:H$200,'GECC 2026'!F$2:F$200,$A51))</f>
        <v/>
      </c>
      <c r="C51" s="103" t="str">
        <f>IF($A51="","",SUMIFS('GECC 2026'!I$2:I$200,'GECC 2026'!F$2:F$200,$A51))</f>
        <v/>
      </c>
      <c r="D51" s="255" t="str">
        <f>IF($A51="","",SUMIFS('GECC 2026'!$AE$3:$AE$32,'GECC 2026'!$AD$3:$AD$32,$A51))</f>
        <v/>
      </c>
      <c r="E51" s="240" t="str">
        <f>IF($A51="","",SUMIFS('GECC 2026'!J$2:J$200,'GECC 2026'!F$2:F$200,$A51)+SUMIFS('GECC 2026'!$AE$3:$AE$32,'GECC 2026'!$AD$3:$AD$32,$A51))</f>
        <v/>
      </c>
      <c r="F51" s="101" t="str">
        <f>IF($A51="","",COUNTIFS('GECC 2026'!F$2:F$200,$A51))</f>
        <v/>
      </c>
    </row>
    <row r="52" spans="2:6" x14ac:dyDescent="0.25">
      <c r="B52" s="103" t="str">
        <f>IF($A52="","",SUMIFS('GECC 2026'!H$2:H$200,'GECC 2026'!F$2:F$200,$A52))</f>
        <v/>
      </c>
      <c r="C52" s="103" t="str">
        <f>IF($A52="","",SUMIFS('GECC 2026'!I$2:I$200,'GECC 2026'!F$2:F$200,$A52))</f>
        <v/>
      </c>
      <c r="D52" s="255" t="str">
        <f>IF($A52="","",SUMIFS('GECC 2026'!$AE$3:$AE$32,'GECC 2026'!$AD$3:$AD$32,$A52))</f>
        <v/>
      </c>
      <c r="E52" s="240" t="str">
        <f>IF($A52="","",SUMIFS('GECC 2026'!J$2:J$200,'GECC 2026'!F$2:F$200,$A52)+SUMIFS('GECC 2026'!$AE$3:$AE$32,'GECC 2026'!$AD$3:$AD$32,$A52))</f>
        <v/>
      </c>
      <c r="F52" s="101" t="str">
        <f>IF($A52="","",COUNTIFS('GECC 2026'!F$2:F$200,$A52))</f>
        <v/>
      </c>
    </row>
    <row r="53" spans="2:6" x14ac:dyDescent="0.25">
      <c r="B53" s="103" t="str">
        <f>IF($A53="","",SUMIFS('GECC 2026'!H$2:H$200,'GECC 2026'!F$2:F$200,$A53))</f>
        <v/>
      </c>
      <c r="C53" s="103" t="str">
        <f>IF($A53="","",SUMIFS('GECC 2026'!I$2:I$200,'GECC 2026'!F$2:F$200,$A53))</f>
        <v/>
      </c>
      <c r="D53" s="255" t="str">
        <f>IF($A53="","",SUMIFS('GECC 2026'!$AE$3:$AE$32,'GECC 2026'!$AD$3:$AD$32,$A53))</f>
        <v/>
      </c>
      <c r="E53" s="240" t="str">
        <f>IF($A53="","",SUMIFS('GECC 2026'!J$2:J$200,'GECC 2026'!F$2:F$200,$A53)+SUMIFS('GECC 2026'!$AE$3:$AE$32,'GECC 2026'!$AD$3:$AD$32,$A53))</f>
        <v/>
      </c>
      <c r="F53" s="101" t="str">
        <f>IF($A53="","",COUNTIFS('GECC 2026'!F$2:F$200,$A53))</f>
        <v/>
      </c>
    </row>
    <row r="54" spans="2:6" x14ac:dyDescent="0.25">
      <c r="B54" s="103" t="str">
        <f>IF($A54="","",SUMIFS('GECC 2026'!H$2:H$200,'GECC 2026'!F$2:F$200,$A54))</f>
        <v/>
      </c>
      <c r="C54" s="103" t="str">
        <f>IF($A54="","",SUMIFS('GECC 2026'!I$2:I$200,'GECC 2026'!F$2:F$200,$A54))</f>
        <v/>
      </c>
      <c r="D54" s="255" t="str">
        <f>IF($A54="","",SUMIFS('GECC 2026'!$AE$3:$AE$32,'GECC 2026'!$AD$3:$AD$32,$A54))</f>
        <v/>
      </c>
      <c r="E54" s="240" t="str">
        <f>IF($A54="","",SUMIFS('GECC 2026'!J$2:J$200,'GECC 2026'!F$2:F$200,$A54)+SUMIFS('GECC 2026'!$AE$3:$AE$32,'GECC 2026'!$AD$3:$AD$32,$A54))</f>
        <v/>
      </c>
      <c r="F54" s="101" t="str">
        <f>IF($A54="","",COUNTIFS('GECC 2026'!F$2:F$200,$A54))</f>
        <v/>
      </c>
    </row>
    <row r="55" spans="2:6" x14ac:dyDescent="0.25">
      <c r="B55" s="103" t="str">
        <f>IF($A55="","",SUMIFS('GECC 2026'!H$2:H$200,'GECC 2026'!F$2:F$200,$A55))</f>
        <v/>
      </c>
      <c r="C55" s="103" t="str">
        <f>IF($A55="","",SUMIFS('GECC 2026'!I$2:I$200,'GECC 2026'!F$2:F$200,$A55))</f>
        <v/>
      </c>
      <c r="D55" s="255" t="str">
        <f>IF($A55="","",SUMIFS('GECC 2026'!$AE$3:$AE$32,'GECC 2026'!$AD$3:$AD$32,$A55))</f>
        <v/>
      </c>
      <c r="E55" s="240" t="str">
        <f>IF($A55="","",SUMIFS('GECC 2026'!J$2:J$200,'GECC 2026'!F$2:F$200,$A55)+SUMIFS('GECC 2026'!$AE$3:$AE$32,'GECC 2026'!$AD$3:$AD$32,$A55))</f>
        <v/>
      </c>
      <c r="F55" s="101" t="str">
        <f>IF($A55="","",COUNTIFS('GECC 2026'!F$2:F$200,$A55))</f>
        <v/>
      </c>
    </row>
    <row r="56" spans="2:6" x14ac:dyDescent="0.25">
      <c r="B56" s="103" t="str">
        <f>IF($A56="","",SUMIFS('GECC 2026'!H$2:H$200,'GECC 2026'!F$2:F$200,$A56))</f>
        <v/>
      </c>
      <c r="C56" s="103" t="str">
        <f>IF($A56="","",SUMIFS('GECC 2026'!I$2:I$200,'GECC 2026'!F$2:F$200,$A56))</f>
        <v/>
      </c>
      <c r="D56" s="255" t="str">
        <f>IF($A56="","",SUMIFS('GECC 2026'!$AE$3:$AE$32,'GECC 2026'!$AD$3:$AD$32,$A56))</f>
        <v/>
      </c>
      <c r="E56" s="240" t="str">
        <f>IF($A56="","",SUMIFS('GECC 2026'!J$2:J$200,'GECC 2026'!F$2:F$200,$A56)+SUMIFS('GECC 2026'!$AE$3:$AE$32,'GECC 2026'!$AD$3:$AD$32,$A56))</f>
        <v/>
      </c>
      <c r="F56" s="101" t="str">
        <f>IF($A56="","",COUNTIFS('GECC 2026'!F$2:F$200,$A56))</f>
        <v/>
      </c>
    </row>
    <row r="57" spans="2:6" x14ac:dyDescent="0.25">
      <c r="B57" s="103" t="str">
        <f>IF($A57="","",SUMIFS('GECC 2026'!H$2:H$200,'GECC 2026'!F$2:F$200,$A57))</f>
        <v/>
      </c>
      <c r="C57" s="103" t="str">
        <f>IF($A57="","",SUMIFS('GECC 2026'!I$2:I$200,'GECC 2026'!F$2:F$200,$A57))</f>
        <v/>
      </c>
      <c r="D57" s="255" t="str">
        <f>IF($A57="","",SUMIFS('GECC 2026'!$AE$3:$AE$32,'GECC 2026'!$AD$3:$AD$32,$A57))</f>
        <v/>
      </c>
      <c r="E57" s="240" t="str">
        <f>IF($A57="","",SUMIFS('GECC 2026'!J$2:J$200,'GECC 2026'!F$2:F$200,$A57)+SUMIFS('GECC 2026'!$AE$3:$AE$32,'GECC 2026'!$AD$3:$AD$32,$A57))</f>
        <v/>
      </c>
      <c r="F57" s="101" t="str">
        <f>IF($A57="","",COUNTIFS('GECC 2026'!F$2:F$200,$A57))</f>
        <v/>
      </c>
    </row>
    <row r="58" spans="2:6" x14ac:dyDescent="0.25">
      <c r="B58" s="103" t="str">
        <f>IF($A58="","",SUMIFS('GECC 2026'!H$2:H$200,'GECC 2026'!F$2:F$200,$A58))</f>
        <v/>
      </c>
      <c r="C58" s="103" t="str">
        <f>IF($A58="","",SUMIFS('GECC 2026'!I$2:I$200,'GECC 2026'!F$2:F$200,$A58))</f>
        <v/>
      </c>
      <c r="D58" s="255" t="str">
        <f>IF($A58="","",SUMIFS('GECC 2026'!$AE$3:$AE$32,'GECC 2026'!$AD$3:$AD$32,$A58))</f>
        <v/>
      </c>
      <c r="E58" s="240" t="str">
        <f>IF($A58="","",SUMIFS('GECC 2026'!J$2:J$200,'GECC 2026'!F$2:F$200,$A58)+SUMIFS('GECC 2026'!$AE$3:$AE$32,'GECC 2026'!$AD$3:$AD$32,$A58))</f>
        <v/>
      </c>
      <c r="F58" s="101" t="str">
        <f>IF($A58="","",COUNTIFS('GECC 2026'!F$2:F$200,$A58))</f>
        <v/>
      </c>
    </row>
    <row r="59" spans="2:6" x14ac:dyDescent="0.25">
      <c r="B59" s="103" t="str">
        <f>IF($A59="","",SUMIFS('GECC 2026'!H$2:H$200,'GECC 2026'!F$2:F$200,$A59))</f>
        <v/>
      </c>
      <c r="C59" s="103" t="str">
        <f>IF($A59="","",SUMIFS('GECC 2026'!I$2:I$200,'GECC 2026'!F$2:F$200,$A59))</f>
        <v/>
      </c>
      <c r="D59" s="255" t="str">
        <f>IF($A59="","",SUMIFS('GECC 2026'!$AE$3:$AE$32,'GECC 2026'!$AD$3:$AD$32,$A59))</f>
        <v/>
      </c>
      <c r="E59" s="240" t="str">
        <f>IF($A59="","",SUMIFS('GECC 2026'!J$2:J$200,'GECC 2026'!F$2:F$200,$A59)+SUMIFS('GECC 2026'!$AE$3:$AE$32,'GECC 2026'!$AD$3:$AD$32,$A59))</f>
        <v/>
      </c>
      <c r="F59" s="101" t="str">
        <f>IF($A59="","",COUNTIFS('GECC 2026'!F$2:F$200,$A59))</f>
        <v/>
      </c>
    </row>
    <row r="60" spans="2:6" x14ac:dyDescent="0.25">
      <c r="B60" s="103" t="str">
        <f>IF($A60="","",SUMIFS('GECC 2026'!H$2:H$200,'GECC 2026'!F$2:F$200,$A60))</f>
        <v/>
      </c>
      <c r="C60" s="103" t="str">
        <f>IF($A60="","",SUMIFS('GECC 2026'!I$2:I$200,'GECC 2026'!F$2:F$200,$A60))</f>
        <v/>
      </c>
      <c r="D60" s="255" t="str">
        <f>IF($A60="","",SUMIFS('GECC 2026'!$AE$3:$AE$32,'GECC 2026'!$AD$3:$AD$32,$A60))</f>
        <v/>
      </c>
      <c r="E60" s="240" t="str">
        <f>IF($A60="","",SUMIFS('GECC 2026'!J$2:J$200,'GECC 2026'!F$2:F$200,$A60)+SUMIFS('GECC 2026'!$AE$3:$AE$32,'GECC 2026'!$AD$3:$AD$32,$A60))</f>
        <v/>
      </c>
      <c r="F60" s="101" t="str">
        <f>IF($A60="","",COUNTIFS('GECC 2026'!F$2:F$200,$A60))</f>
        <v/>
      </c>
    </row>
    <row r="61" spans="2:6" x14ac:dyDescent="0.25">
      <c r="B61" s="103" t="str">
        <f>IF($A61="","",SUMIFS('GECC 2026'!H$2:H$200,'GECC 2026'!F$2:F$200,$A61))</f>
        <v/>
      </c>
      <c r="C61" s="103" t="str">
        <f>IF($A61="","",SUMIFS('GECC 2026'!I$2:I$200,'GECC 2026'!F$2:F$200,$A61))</f>
        <v/>
      </c>
      <c r="D61" s="255" t="str">
        <f>IF($A61="","",SUMIFS('GECC 2026'!$AE$3:$AE$32,'GECC 2026'!$AD$3:$AD$32,$A61))</f>
        <v/>
      </c>
      <c r="E61" s="240" t="str">
        <f>IF($A61="","",SUMIFS('GECC 2026'!J$2:J$200,'GECC 2026'!F$2:F$200,$A61)+SUMIFS('GECC 2026'!$AE$3:$AE$32,'GECC 2026'!$AD$3:$AD$32,$A61))</f>
        <v/>
      </c>
      <c r="F61" s="101" t="str">
        <f>IF($A61="","",COUNTIFS('GECC 2026'!F$2:F$200,$A61))</f>
        <v/>
      </c>
    </row>
    <row r="62" spans="2:6" x14ac:dyDescent="0.25">
      <c r="B62" s="103" t="str">
        <f>IF($A62="","",SUMIFS('GECC 2026'!H$2:H$200,'GECC 2026'!F$2:F$200,$A62))</f>
        <v/>
      </c>
      <c r="C62" s="103" t="str">
        <f>IF($A62="","",SUMIFS('GECC 2026'!I$2:I$200,'GECC 2026'!F$2:F$200,$A62))</f>
        <v/>
      </c>
      <c r="D62" s="255" t="str">
        <f>IF($A62="","",SUMIFS('GECC 2026'!$AE$3:$AE$32,'GECC 2026'!$AD$3:$AD$32,$A62))</f>
        <v/>
      </c>
      <c r="E62" s="240" t="str">
        <f>IF($A62="","",SUMIFS('GECC 2026'!J$2:J$200,'GECC 2026'!F$2:F$200,$A62)+SUMIFS('GECC 2026'!$AE$3:$AE$32,'GECC 2026'!$AD$3:$AD$32,$A62))</f>
        <v/>
      </c>
      <c r="F62" s="101" t="str">
        <f>IF($A62="","",COUNTIFS('GECC 2026'!F$2:F$200,$A62))</f>
        <v/>
      </c>
    </row>
    <row r="63" spans="2:6" x14ac:dyDescent="0.25">
      <c r="B63" s="103" t="str">
        <f>IF($A63="","",SUMIFS('GECC 2026'!H$2:H$200,'GECC 2026'!F$2:F$200,$A63))</f>
        <v/>
      </c>
      <c r="C63" s="103" t="str">
        <f>IF($A63="","",SUMIFS('GECC 2026'!I$2:I$200,'GECC 2026'!F$2:F$200,$A63))</f>
        <v/>
      </c>
      <c r="D63" s="255" t="str">
        <f>IF($A63="","",SUMIFS('GECC 2026'!$AE$3:$AE$32,'GECC 2026'!$AD$3:$AD$32,$A63))</f>
        <v/>
      </c>
      <c r="E63" s="240" t="str">
        <f>IF($A63="","",SUMIFS('GECC 2026'!J$2:J$200,'GECC 2026'!F$2:F$200,$A63)+SUMIFS('GECC 2026'!$AE$3:$AE$32,'GECC 2026'!$AD$3:$AD$32,$A63))</f>
        <v/>
      </c>
      <c r="F63" s="101" t="str">
        <f>IF($A63="","",COUNTIFS('GECC 2026'!F$2:F$200,$A63))</f>
        <v/>
      </c>
    </row>
    <row r="64" spans="2:6" x14ac:dyDescent="0.25">
      <c r="B64" s="103" t="str">
        <f>IF($A64="","",SUMIFS('GECC 2026'!H$2:H$200,'GECC 2026'!F$2:F$200,$A64))</f>
        <v/>
      </c>
      <c r="C64" s="103" t="str">
        <f>IF($A64="","",SUMIFS('GECC 2026'!I$2:I$200,'GECC 2026'!F$2:F$200,$A64))</f>
        <v/>
      </c>
      <c r="D64" s="255" t="str">
        <f>IF($A64="","",SUMIFS('GECC 2026'!$AE$3:$AE$32,'GECC 2026'!$AD$3:$AD$32,$A64))</f>
        <v/>
      </c>
      <c r="E64" s="240" t="str">
        <f>IF($A64="","",SUMIFS('GECC 2026'!J$2:J$200,'GECC 2026'!F$2:F$200,$A64)+SUMIFS('GECC 2026'!$AE$3:$AE$32,'GECC 2026'!$AD$3:$AD$32,$A64))</f>
        <v/>
      </c>
      <c r="F64" s="101" t="str">
        <f>IF($A64="","",COUNTIFS('GECC 2026'!F$2:F$200,$A64))</f>
        <v/>
      </c>
    </row>
    <row r="65" spans="2:6" x14ac:dyDescent="0.25">
      <c r="B65" s="103" t="str">
        <f>IF($A65="","",SUMIFS('GECC 2026'!H$2:H$200,'GECC 2026'!F$2:F$200,$A65))</f>
        <v/>
      </c>
      <c r="C65" s="103" t="str">
        <f>IF($A65="","",SUMIFS('GECC 2026'!I$2:I$200,'GECC 2026'!F$2:F$200,$A65))</f>
        <v/>
      </c>
      <c r="D65" s="255" t="str">
        <f>IF($A65="","",SUMIFS('GECC 2026'!$AE$3:$AE$32,'GECC 2026'!$AD$3:$AD$32,$A65))</f>
        <v/>
      </c>
      <c r="E65" s="240" t="str">
        <f>IF($A65="","",SUMIFS('GECC 2026'!J$2:J$200,'GECC 2026'!F$2:F$200,$A65)+SUMIFS('GECC 2026'!$AE$3:$AE$32,'GECC 2026'!$AD$3:$AD$32,$A65))</f>
        <v/>
      </c>
      <c r="F65" s="101" t="str">
        <f>IF($A65="","",COUNTIFS('GECC 2026'!F$2:F$200,$A65))</f>
        <v/>
      </c>
    </row>
    <row r="66" spans="2:6" x14ac:dyDescent="0.25">
      <c r="B66" s="103" t="str">
        <f>IF($A66="","",SUMIFS('GECC 2026'!H$2:H$200,'GECC 2026'!F$2:F$200,$A66))</f>
        <v/>
      </c>
      <c r="C66" s="103" t="str">
        <f>IF($A66="","",SUMIFS('GECC 2026'!I$2:I$200,'GECC 2026'!F$2:F$200,$A66))</f>
        <v/>
      </c>
      <c r="D66" s="255" t="str">
        <f>IF($A66="","",SUMIFS('GECC 2026'!$AE$3:$AE$32,'GECC 2026'!$AD$3:$AD$32,$A66))</f>
        <v/>
      </c>
      <c r="E66" s="240" t="str">
        <f>IF($A66="","",SUMIFS('GECC 2026'!J$2:J$200,'GECC 2026'!F$2:F$200,$A66)+SUMIFS('GECC 2026'!$AE$3:$AE$32,'GECC 2026'!$AD$3:$AD$32,$A66))</f>
        <v/>
      </c>
      <c r="F66" s="101" t="str">
        <f>IF($A66="","",COUNTIFS('GECC 2026'!F$2:F$200,$A66))</f>
        <v/>
      </c>
    </row>
    <row r="67" spans="2:6" x14ac:dyDescent="0.25">
      <c r="B67" s="103" t="str">
        <f>IF($A67="","",SUMIFS('GECC 2026'!H$2:H$200,'GECC 2026'!F$2:F$200,$A67))</f>
        <v/>
      </c>
      <c r="C67" s="103" t="str">
        <f>IF($A67="","",SUMIFS('GECC 2026'!I$2:I$200,'GECC 2026'!F$2:F$200,$A67))</f>
        <v/>
      </c>
      <c r="D67" s="255" t="str">
        <f>IF($A67="","",SUMIFS('GECC 2026'!$AE$3:$AE$32,'GECC 2026'!$AD$3:$AD$32,$A67))</f>
        <v/>
      </c>
      <c r="E67" s="240" t="str">
        <f>IF($A67="","",SUMIFS('GECC 2026'!J$2:J$200,'GECC 2026'!F$2:F$200,$A67)+SUMIFS('GECC 2026'!$AE$3:$AE$32,'GECC 2026'!$AD$3:$AD$32,$A67))</f>
        <v/>
      </c>
      <c r="F67" s="101" t="str">
        <f>IF($A67="","",COUNTIFS('GECC 2026'!F$2:F$200,$A67))</f>
        <v/>
      </c>
    </row>
    <row r="68" spans="2:6" x14ac:dyDescent="0.25">
      <c r="B68" s="103" t="str">
        <f>IF($A68="","",SUMIFS('GECC 2026'!H$2:H$200,'GECC 2026'!F$2:F$200,$A68))</f>
        <v/>
      </c>
      <c r="C68" s="103" t="str">
        <f>IF($A68="","",SUMIFS('GECC 2026'!I$2:I$200,'GECC 2026'!F$2:F$200,$A68))</f>
        <v/>
      </c>
      <c r="D68" s="255" t="str">
        <f>IF($A68="","",SUMIFS('GECC 2026'!$AE$3:$AE$32,'GECC 2026'!$AD$3:$AD$32,$A68))</f>
        <v/>
      </c>
      <c r="E68" s="240" t="str">
        <f>IF($A68="","",SUMIFS('GECC 2026'!J$2:J$200,'GECC 2026'!F$2:F$200,$A68)+SUMIFS('GECC 2026'!$AE$3:$AE$32,'GECC 2026'!$AD$3:$AD$32,$A68))</f>
        <v/>
      </c>
      <c r="F68" s="101" t="str">
        <f>IF($A68="","",COUNTIFS('GECC 2026'!F$2:F$200,$A68))</f>
        <v/>
      </c>
    </row>
    <row r="69" spans="2:6" x14ac:dyDescent="0.25">
      <c r="B69" s="103" t="str">
        <f>IF($A69="","",SUMIFS('GECC 2026'!H$2:H$200,'GECC 2026'!F$2:F$200,$A69))</f>
        <v/>
      </c>
      <c r="C69" s="103" t="str">
        <f>IF($A69="","",SUMIFS('GECC 2026'!I$2:I$200,'GECC 2026'!F$2:F$200,$A69))</f>
        <v/>
      </c>
      <c r="D69" s="255" t="str">
        <f>IF($A69="","",SUMIFS('GECC 2026'!$AE$3:$AE$32,'GECC 2026'!$AD$3:$AD$32,$A69))</f>
        <v/>
      </c>
      <c r="E69" s="240" t="str">
        <f>IF($A69="","",SUMIFS('GECC 2026'!J$2:J$200,'GECC 2026'!F$2:F$200,$A69)+SUMIFS('GECC 2026'!$AE$3:$AE$32,'GECC 2026'!$AD$3:$AD$32,$A69))</f>
        <v/>
      </c>
      <c r="F69" s="101" t="str">
        <f>IF($A69="","",COUNTIFS('GECC 2026'!F$2:F$200,$A69))</f>
        <v/>
      </c>
    </row>
    <row r="70" spans="2:6" x14ac:dyDescent="0.25">
      <c r="B70" s="103" t="str">
        <f>IF($A70="","",SUMIFS('GECC 2026'!H$2:H$200,'GECC 2026'!F$2:F$200,$A70))</f>
        <v/>
      </c>
      <c r="C70" s="103" t="str">
        <f>IF($A70="","",SUMIFS('GECC 2026'!I$2:I$200,'GECC 2026'!F$2:F$200,$A70))</f>
        <v/>
      </c>
      <c r="D70" s="255" t="str">
        <f>IF($A70="","",SUMIFS('GECC 2026'!$AE$3:$AE$32,'GECC 2026'!$AD$3:$AD$32,$A70))</f>
        <v/>
      </c>
      <c r="E70" s="240" t="str">
        <f>IF($A70="","",SUMIFS('GECC 2026'!J$2:J$200,'GECC 2026'!F$2:F$200,$A70)+SUMIFS('GECC 2026'!$AE$3:$AE$32,'GECC 2026'!$AD$3:$AD$32,$A70))</f>
        <v/>
      </c>
      <c r="F70" s="101" t="str">
        <f>IF($A70="","",COUNTIFS('GECC 2026'!F$2:F$200,$A70))</f>
        <v/>
      </c>
    </row>
    <row r="71" spans="2:6" x14ac:dyDescent="0.25">
      <c r="B71" s="103" t="str">
        <f>IF($A71="","",SUMIFS('GECC 2026'!H$2:H$200,'GECC 2026'!F$2:F$200,$A71))</f>
        <v/>
      </c>
      <c r="C71" s="103" t="str">
        <f>IF($A71="","",SUMIFS('GECC 2026'!I$2:I$200,'GECC 2026'!F$2:F$200,$A71))</f>
        <v/>
      </c>
      <c r="D71" s="255" t="str">
        <f>IF($A71="","",SUMIFS('GECC 2026'!$AE$3:$AE$32,'GECC 2026'!$AD$3:$AD$32,$A71))</f>
        <v/>
      </c>
      <c r="E71" s="240" t="str">
        <f>IF($A71="","",SUMIFS('GECC 2026'!J$2:J$200,'GECC 2026'!F$2:F$200,$A71)+SUMIFS('GECC 2026'!$AE$3:$AE$32,'GECC 2026'!$AD$3:$AD$32,$A71))</f>
        <v/>
      </c>
      <c r="F71" s="101" t="str">
        <f>IF($A71="","",COUNTIFS('GECC 2026'!F$2:F$200,$A71))</f>
        <v/>
      </c>
    </row>
    <row r="72" spans="2:6" x14ac:dyDescent="0.25">
      <c r="B72" s="103" t="str">
        <f>IF($A72="","",SUMIFS('GECC 2026'!H$2:H$200,'GECC 2026'!F$2:F$200,$A72))</f>
        <v/>
      </c>
      <c r="C72" s="103" t="str">
        <f>IF($A72="","",SUMIFS('GECC 2026'!I$2:I$200,'GECC 2026'!F$2:F$200,$A72))</f>
        <v/>
      </c>
      <c r="D72" s="255" t="str">
        <f>IF($A72="","",SUMIFS('GECC 2026'!$AE$3:$AE$32,'GECC 2026'!$AD$3:$AD$32,$A72))</f>
        <v/>
      </c>
      <c r="E72" s="240" t="str">
        <f>IF($A72="","",SUMIFS('GECC 2026'!J$2:J$200,'GECC 2026'!F$2:F$200,$A72)+SUMIFS('GECC 2026'!$AE$3:$AE$32,'GECC 2026'!$AD$3:$AD$32,$A72))</f>
        <v/>
      </c>
      <c r="F72" s="101" t="str">
        <f>IF($A72="","",COUNTIFS('GECC 2026'!F$2:F$200,$A72))</f>
        <v/>
      </c>
    </row>
    <row r="73" spans="2:6" x14ac:dyDescent="0.25">
      <c r="B73" s="103" t="str">
        <f>IF($A73="","",SUMIFS('GECC 2026'!H$2:H$200,'GECC 2026'!F$2:F$200,$A73))</f>
        <v/>
      </c>
      <c r="C73" s="103" t="str">
        <f>IF($A73="","",SUMIFS('GECC 2026'!I$2:I$200,'GECC 2026'!F$2:F$200,$A73))</f>
        <v/>
      </c>
      <c r="D73" s="255" t="str">
        <f>IF($A73="","",SUMIFS('GECC 2026'!$AE$3:$AE$32,'GECC 2026'!$AD$3:$AD$32,$A73))</f>
        <v/>
      </c>
      <c r="E73" s="240" t="str">
        <f>IF($A73="","",SUMIFS('GECC 2026'!J$2:J$200,'GECC 2026'!F$2:F$200,$A73)+SUMIFS('GECC 2026'!$AE$3:$AE$32,'GECC 2026'!$AD$3:$AD$32,$A73))</f>
        <v/>
      </c>
      <c r="F73" s="101" t="str">
        <f>IF($A73="","",COUNTIFS('GECC 2026'!F$2:F$200,$A73))</f>
        <v/>
      </c>
    </row>
    <row r="74" spans="2:6" x14ac:dyDescent="0.25">
      <c r="B74" s="103" t="str">
        <f>IF($A74="","",SUMIFS('GECC 2026'!H$2:H$200,'GECC 2026'!F$2:F$200,$A74))</f>
        <v/>
      </c>
      <c r="C74" s="103" t="str">
        <f>IF($A74="","",SUMIFS('GECC 2026'!I$2:I$200,'GECC 2026'!F$2:F$200,$A74))</f>
        <v/>
      </c>
      <c r="D74" s="255" t="str">
        <f>IF($A74="","",SUMIFS('GECC 2026'!$AE$3:$AE$32,'GECC 2026'!$AD$3:$AD$32,$A74))</f>
        <v/>
      </c>
      <c r="E74" s="240" t="str">
        <f>IF($A74="","",SUMIFS('GECC 2026'!J$2:J$200,'GECC 2026'!F$2:F$200,$A74)+SUMIFS('GECC 2026'!$AE$3:$AE$32,'GECC 2026'!$AD$3:$AD$32,$A74))</f>
        <v/>
      </c>
      <c r="F74" s="101" t="str">
        <f>IF($A74="","",COUNTIFS('GECC 2026'!F$2:F$200,$A74))</f>
        <v/>
      </c>
    </row>
    <row r="75" spans="2:6" x14ac:dyDescent="0.25">
      <c r="B75" s="103" t="str">
        <f>IF($A75="","",SUMIFS('GECC 2026'!H$2:H$200,'GECC 2026'!F$2:F$200,$A75))</f>
        <v/>
      </c>
      <c r="C75" s="103" t="str">
        <f>IF($A75="","",SUMIFS('GECC 2026'!I$2:I$200,'GECC 2026'!F$2:F$200,$A75))</f>
        <v/>
      </c>
      <c r="D75" s="255" t="str">
        <f>IF($A75="","",SUMIFS('GECC 2026'!$AE$3:$AE$32,'GECC 2026'!$AD$3:$AD$32,$A75))</f>
        <v/>
      </c>
      <c r="E75" s="240" t="str">
        <f>IF($A75="","",SUMIFS('GECC 2026'!J$2:J$200,'GECC 2026'!F$2:F$200,$A75)+SUMIFS('GECC 2026'!$AE$3:$AE$32,'GECC 2026'!$AD$3:$AD$32,$A75))</f>
        <v/>
      </c>
      <c r="F75" s="101" t="str">
        <f>IF($A75="","",COUNTIFS('GECC 2026'!F$2:F$200,$A75))</f>
        <v/>
      </c>
    </row>
    <row r="76" spans="2:6" x14ac:dyDescent="0.25">
      <c r="B76" s="103" t="str">
        <f>IF($A76="","",SUMIFS('GECC 2026'!H$2:H$200,'GECC 2026'!F$2:F$200,$A76))</f>
        <v/>
      </c>
      <c r="C76" s="103" t="str">
        <f>IF($A76="","",SUMIFS('GECC 2026'!I$2:I$200,'GECC 2026'!F$2:F$200,$A76))</f>
        <v/>
      </c>
      <c r="D76" s="255" t="str">
        <f>IF($A76="","",SUMIFS('GECC 2026'!$AE$3:$AE$32,'GECC 2026'!$AD$3:$AD$32,$A76))</f>
        <v/>
      </c>
      <c r="E76" s="240" t="str">
        <f>IF($A76="","",SUMIFS('GECC 2026'!J$2:J$200,'GECC 2026'!F$2:F$200,$A76)+SUMIFS('GECC 2026'!$AE$3:$AE$32,'GECC 2026'!$AD$3:$AD$32,$A76))</f>
        <v/>
      </c>
      <c r="F76" s="101" t="str">
        <f>IF($A76="","",COUNTIFS('GECC 2026'!F$2:F$200,$A76))</f>
        <v/>
      </c>
    </row>
    <row r="77" spans="2:6" x14ac:dyDescent="0.25">
      <c r="B77" s="103" t="str">
        <f>IF($A77="","",SUMIFS('GECC 2026'!H$2:H$200,'GECC 2026'!F$2:F$200,$A77))</f>
        <v/>
      </c>
      <c r="C77" s="103" t="str">
        <f>IF($A77="","",SUMIFS('GECC 2026'!I$2:I$200,'GECC 2026'!F$2:F$200,$A77))</f>
        <v/>
      </c>
      <c r="D77" s="255" t="str">
        <f>IF($A77="","",SUMIFS('GECC 2026'!$AE$3:$AE$32,'GECC 2026'!$AD$3:$AD$32,$A77))</f>
        <v/>
      </c>
      <c r="E77" s="240" t="str">
        <f>IF($A77="","",SUMIFS('GECC 2026'!J$2:J$200,'GECC 2026'!F$2:F$200,$A77)+SUMIFS('GECC 2026'!$AE$3:$AE$32,'GECC 2026'!$AD$3:$AD$32,$A77))</f>
        <v/>
      </c>
      <c r="F77" s="101" t="str">
        <f>IF($A77="","",COUNTIFS('GECC 2026'!F$2:F$200,$A77))</f>
        <v/>
      </c>
    </row>
    <row r="78" spans="2:6" x14ac:dyDescent="0.25">
      <c r="B78" s="103" t="str">
        <f>IF($A78="","",SUMIFS('GECC 2026'!H$2:H$200,'GECC 2026'!F$2:F$200,$A78))</f>
        <v/>
      </c>
      <c r="C78" s="103" t="str">
        <f>IF($A78="","",SUMIFS('GECC 2026'!I$2:I$200,'GECC 2026'!F$2:F$200,$A78))</f>
        <v/>
      </c>
      <c r="D78" s="255" t="str">
        <f>IF($A78="","",SUMIFS('GECC 2026'!$AE$3:$AE$32,'GECC 2026'!$AD$3:$AD$32,$A78))</f>
        <v/>
      </c>
      <c r="E78" s="240" t="str">
        <f>IF($A78="","",SUMIFS('GECC 2026'!J$2:J$200,'GECC 2026'!F$2:F$200,$A78)+SUMIFS('GECC 2026'!$AE$3:$AE$32,'GECC 2026'!$AD$3:$AD$32,$A78))</f>
        <v/>
      </c>
      <c r="F78" s="101" t="str">
        <f>IF($A78="","",COUNTIFS('GECC 2026'!F$2:F$200,$A78))</f>
        <v/>
      </c>
    </row>
    <row r="79" spans="2:6" x14ac:dyDescent="0.25">
      <c r="B79" s="103" t="str">
        <f>IF($A79="","",SUMIFS('GECC 2026'!H$2:H$200,'GECC 2026'!F$2:F$200,$A79))</f>
        <v/>
      </c>
      <c r="C79" s="103" t="str">
        <f>IF($A79="","",SUMIFS('GECC 2026'!I$2:I$200,'GECC 2026'!F$2:F$200,$A79))</f>
        <v/>
      </c>
      <c r="D79" s="255" t="str">
        <f>IF($A79="","",SUMIFS('GECC 2026'!$AE$3:$AE$32,'GECC 2026'!$AD$3:$AD$32,$A79))</f>
        <v/>
      </c>
      <c r="E79" s="240" t="str">
        <f>IF($A79="","",SUMIFS('GECC 2026'!J$2:J$200,'GECC 2026'!F$2:F$200,$A79)+SUMIFS('GECC 2026'!$AE$3:$AE$32,'GECC 2026'!$AD$3:$AD$32,$A79))</f>
        <v/>
      </c>
      <c r="F79" s="101" t="str">
        <f>IF($A79="","",COUNTIFS('GECC 2026'!F$2:F$200,$A79))</f>
        <v/>
      </c>
    </row>
    <row r="80" spans="2:6" x14ac:dyDescent="0.25">
      <c r="B80" s="103" t="str">
        <f>IF($A80="","",SUMIFS('GECC 2026'!H$2:H$200,'GECC 2026'!F$2:F$200,$A80))</f>
        <v/>
      </c>
      <c r="C80" s="103" t="str">
        <f>IF($A80="","",SUMIFS('GECC 2026'!I$2:I$200,'GECC 2026'!F$2:F$200,$A80))</f>
        <v/>
      </c>
      <c r="D80" s="255" t="str">
        <f>IF($A80="","",SUMIFS('GECC 2026'!$AE$3:$AE$32,'GECC 2026'!$AD$3:$AD$32,$A80))</f>
        <v/>
      </c>
      <c r="E80" s="240" t="str">
        <f>IF($A80="","",SUMIFS('GECC 2026'!J$2:J$200,'GECC 2026'!F$2:F$200,$A80)+SUMIFS('GECC 2026'!$AE$3:$AE$32,'GECC 2026'!$AD$3:$AD$32,$A80))</f>
        <v/>
      </c>
      <c r="F80" s="101" t="str">
        <f>IF($A80="","",COUNTIFS('GECC 2026'!F$2:F$200,$A80))</f>
        <v/>
      </c>
    </row>
    <row r="81" spans="2:6" x14ac:dyDescent="0.25">
      <c r="B81" s="103" t="str">
        <f>IF($A81="","",SUMIFS('GECC 2026'!H$2:H$200,'GECC 2026'!F$2:F$200,$A81))</f>
        <v/>
      </c>
      <c r="C81" s="103" t="str">
        <f>IF($A81="","",SUMIFS('GECC 2026'!I$2:I$200,'GECC 2026'!F$2:F$200,$A81))</f>
        <v/>
      </c>
      <c r="D81" s="255" t="str">
        <f>IF($A81="","",SUMIFS('GECC 2026'!$AE$3:$AE$32,'GECC 2026'!$AD$3:$AD$32,$A81))</f>
        <v/>
      </c>
      <c r="E81" s="240" t="str">
        <f>IF($A81="","",SUMIFS('GECC 2026'!J$2:J$200,'GECC 2026'!F$2:F$200,$A81)+SUMIFS('GECC 2026'!$AE$3:$AE$32,'GECC 2026'!$AD$3:$AD$32,$A81))</f>
        <v/>
      </c>
      <c r="F81" s="101" t="str">
        <f>IF($A81="","",COUNTIFS('GECC 2026'!F$2:F$200,$A81))</f>
        <v/>
      </c>
    </row>
    <row r="82" spans="2:6" x14ac:dyDescent="0.25">
      <c r="B82" s="103" t="str">
        <f>IF($A82="","",SUMIFS('GECC 2026'!H$2:H$200,'GECC 2026'!F$2:F$200,$A82))</f>
        <v/>
      </c>
      <c r="C82" s="103" t="str">
        <f>IF($A82="","",SUMIFS('GECC 2026'!I$2:I$200,'GECC 2026'!F$2:F$200,$A82))</f>
        <v/>
      </c>
      <c r="D82" s="255" t="str">
        <f>IF($A82="","",SUMIFS('GECC 2026'!$AE$3:$AE$32,'GECC 2026'!$AD$3:$AD$32,$A82))</f>
        <v/>
      </c>
      <c r="E82" s="240" t="str">
        <f>IF($A82="","",SUMIFS('GECC 2026'!J$2:J$200,'GECC 2026'!F$2:F$200,$A82)+SUMIFS('GECC 2026'!$AE$3:$AE$32,'GECC 2026'!$AD$3:$AD$32,$A82))</f>
        <v/>
      </c>
      <c r="F82" s="101" t="str">
        <f>IF($A82="","",COUNTIFS('GECC 2026'!F$2:F$200,$A82))</f>
        <v/>
      </c>
    </row>
    <row r="83" spans="2:6" x14ac:dyDescent="0.25">
      <c r="B83" s="103" t="str">
        <f>IF($A83="","",SUMIFS('GECC 2026'!H$2:H$200,'GECC 2026'!F$2:F$200,$A83))</f>
        <v/>
      </c>
      <c r="C83" s="103" t="str">
        <f>IF($A83="","",SUMIFS('GECC 2026'!I$2:I$200,'GECC 2026'!F$2:F$200,$A83))</f>
        <v/>
      </c>
      <c r="D83" s="255" t="str">
        <f>IF($A83="","",SUMIFS('GECC 2026'!$AE$3:$AE$32,'GECC 2026'!$AD$3:$AD$32,$A83))</f>
        <v/>
      </c>
      <c r="E83" s="240" t="str">
        <f>IF($A83="","",SUMIFS('GECC 2026'!J$2:J$200,'GECC 2026'!F$2:F$200,$A83)+SUMIFS('GECC 2026'!$AE$3:$AE$32,'GECC 2026'!$AD$3:$AD$32,$A83))</f>
        <v/>
      </c>
      <c r="F83" s="101" t="str">
        <f>IF($A83="","",COUNTIFS('GECC 2026'!F$2:F$200,$A83))</f>
        <v/>
      </c>
    </row>
    <row r="84" spans="2:6" x14ac:dyDescent="0.25">
      <c r="B84" s="103" t="str">
        <f>IF($A84="","",SUMIFS('GECC 2026'!H$2:H$200,'GECC 2026'!F$2:F$200,$A84))</f>
        <v/>
      </c>
      <c r="C84" s="103" t="str">
        <f>IF($A84="","",SUMIFS('GECC 2026'!I$2:I$200,'GECC 2026'!F$2:F$200,$A84))</f>
        <v/>
      </c>
      <c r="D84" s="255" t="str">
        <f>IF($A84="","",SUMIFS('GECC 2026'!$AE$3:$AE$32,'GECC 2026'!$AD$3:$AD$32,$A84))</f>
        <v/>
      </c>
      <c r="E84" s="240" t="str">
        <f>IF($A84="","",SUMIFS('GECC 2026'!J$2:J$200,'GECC 2026'!F$2:F$200,$A84)+SUMIFS('GECC 2026'!$AE$3:$AE$32,'GECC 2026'!$AD$3:$AD$32,$A84))</f>
        <v/>
      </c>
      <c r="F84" s="101" t="str">
        <f>IF($A84="","",COUNTIFS('GECC 2026'!F$2:F$200,$A84))</f>
        <v/>
      </c>
    </row>
    <row r="85" spans="2:6" x14ac:dyDescent="0.25">
      <c r="B85" s="103" t="str">
        <f>IF($A85="","",SUMIFS('GECC 2026'!H$2:H$200,'GECC 2026'!F$2:F$200,$A85))</f>
        <v/>
      </c>
      <c r="C85" s="103" t="str">
        <f>IF($A85="","",SUMIFS('GECC 2026'!I$2:I$200,'GECC 2026'!F$2:F$200,$A85))</f>
        <v/>
      </c>
      <c r="D85" s="255" t="str">
        <f>IF($A85="","",SUMIFS('GECC 2026'!$AE$3:$AE$32,'GECC 2026'!$AD$3:$AD$32,$A85))</f>
        <v/>
      </c>
      <c r="E85" s="240" t="str">
        <f>IF($A85="","",SUMIFS('GECC 2026'!J$2:J$200,'GECC 2026'!F$2:F$200,$A85)+SUMIFS('GECC 2026'!$AE$3:$AE$32,'GECC 2026'!$AD$3:$AD$32,$A85))</f>
        <v/>
      </c>
      <c r="F85" s="101" t="str">
        <f>IF($A85="","",COUNTIFS('GECC 2026'!F$2:F$200,$A85))</f>
        <v/>
      </c>
    </row>
    <row r="86" spans="2:6" x14ac:dyDescent="0.25">
      <c r="B86" s="103" t="str">
        <f>IF($A86="","",SUMIFS('GECC 2026'!H$2:H$200,'GECC 2026'!F$2:F$200,$A86))</f>
        <v/>
      </c>
      <c r="C86" s="103" t="str">
        <f>IF($A86="","",SUMIFS('GECC 2026'!I$2:I$200,'GECC 2026'!F$2:F$200,$A86))</f>
        <v/>
      </c>
      <c r="D86" s="255" t="str">
        <f>IF($A86="","",SUMIFS('GECC 2026'!$AE$3:$AE$32,'GECC 2026'!$AD$3:$AD$32,$A86))</f>
        <v/>
      </c>
      <c r="E86" s="240" t="str">
        <f>IF($A86="","",SUMIFS('GECC 2026'!J$2:J$200,'GECC 2026'!F$2:F$200,$A86)+SUMIFS('GECC 2026'!$AE$3:$AE$32,'GECC 2026'!$AD$3:$AD$32,$A86))</f>
        <v/>
      </c>
      <c r="F86" s="101" t="str">
        <f>IF($A86="","",COUNTIFS('GECC 2026'!F$2:F$200,$A86))</f>
        <v/>
      </c>
    </row>
    <row r="87" spans="2:6" x14ac:dyDescent="0.25">
      <c r="B87" s="103" t="str">
        <f>IF($A87="","",SUMIFS('GECC 2026'!H$2:H$200,'GECC 2026'!F$2:F$200,$A87))</f>
        <v/>
      </c>
      <c r="C87" s="103" t="str">
        <f>IF($A87="","",SUMIFS('GECC 2026'!I$2:I$200,'GECC 2026'!F$2:F$200,$A87))</f>
        <v/>
      </c>
      <c r="D87" s="255" t="str">
        <f>IF($A87="","",SUMIFS('GECC 2026'!$AE$3:$AE$32,'GECC 2026'!$AD$3:$AD$32,$A87))</f>
        <v/>
      </c>
      <c r="E87" s="240" t="str">
        <f>IF($A87="","",SUMIFS('GECC 2026'!J$2:J$200,'GECC 2026'!F$2:F$200,$A87)+SUMIFS('GECC 2026'!$AE$3:$AE$32,'GECC 2026'!$AD$3:$AD$32,$A87))</f>
        <v/>
      </c>
      <c r="F87" s="101" t="str">
        <f>IF($A87="","",COUNTIFS('GECC 2026'!F$2:F$200,$A87))</f>
        <v/>
      </c>
    </row>
    <row r="88" spans="2:6" x14ac:dyDescent="0.25">
      <c r="B88" s="103" t="str">
        <f>IF($A88="","",SUMIFS('GECC 2026'!H$2:H$200,'GECC 2026'!F$2:F$200,$A88))</f>
        <v/>
      </c>
      <c r="C88" s="103" t="str">
        <f>IF($A88="","",SUMIFS('GECC 2026'!I$2:I$200,'GECC 2026'!F$2:F$200,$A88))</f>
        <v/>
      </c>
      <c r="D88" s="255" t="str">
        <f>IF($A88="","",SUMIFS('GECC 2026'!$AE$3:$AE$32,'GECC 2026'!$AD$3:$AD$32,$A88))</f>
        <v/>
      </c>
      <c r="E88" s="240" t="str">
        <f>IF($A88="","",SUMIFS('GECC 2026'!J$2:J$200,'GECC 2026'!F$2:F$200,$A88)+SUMIFS('GECC 2026'!$AE$3:$AE$32,'GECC 2026'!$AD$3:$AD$32,$A88))</f>
        <v/>
      </c>
      <c r="F88" s="101" t="str">
        <f>IF($A88="","",COUNTIFS('GECC 2026'!F$2:F$200,$A88))</f>
        <v/>
      </c>
    </row>
    <row r="89" spans="2:6" x14ac:dyDescent="0.25">
      <c r="B89" s="103" t="str">
        <f>IF($A89="","",SUMIFS('GECC 2026'!H$2:H$200,'GECC 2026'!F$2:F$200,$A89))</f>
        <v/>
      </c>
      <c r="C89" s="103" t="str">
        <f>IF($A89="","",SUMIFS('GECC 2026'!I$2:I$200,'GECC 2026'!F$2:F$200,$A89))</f>
        <v/>
      </c>
      <c r="D89" s="255" t="str">
        <f>IF($A89="","",SUMIFS('GECC 2026'!$AE$3:$AE$32,'GECC 2026'!$AD$3:$AD$32,$A89))</f>
        <v/>
      </c>
      <c r="E89" s="240" t="str">
        <f>IF($A89="","",SUMIFS('GECC 2026'!J$2:J$200,'GECC 2026'!F$2:F$200,$A89)+SUMIFS('GECC 2026'!$AE$3:$AE$32,'GECC 2026'!$AD$3:$AD$32,$A89))</f>
        <v/>
      </c>
      <c r="F89" s="101" t="str">
        <f>IF($A89="","",COUNTIFS('GECC 2026'!F$2:F$200,$A89))</f>
        <v/>
      </c>
    </row>
    <row r="90" spans="2:6" x14ac:dyDescent="0.25">
      <c r="B90" s="103" t="str">
        <f>IF($A90="","",SUMIFS('GECC 2026'!H$2:H$200,'GECC 2026'!F$2:F$200,$A90))</f>
        <v/>
      </c>
      <c r="C90" s="103" t="str">
        <f>IF($A90="","",SUMIFS('GECC 2026'!I$2:I$200,'GECC 2026'!F$2:F$200,$A90))</f>
        <v/>
      </c>
      <c r="D90" s="255" t="str">
        <f>IF($A90="","",SUMIFS('GECC 2026'!$AE$3:$AE$32,'GECC 2026'!$AD$3:$AD$32,$A90))</f>
        <v/>
      </c>
      <c r="E90" s="240" t="str">
        <f>IF($A90="","",SUMIFS('GECC 2026'!J$2:J$200,'GECC 2026'!F$2:F$200,$A90)+SUMIFS('GECC 2026'!$AE$3:$AE$32,'GECC 2026'!$AD$3:$AD$32,$A90))</f>
        <v/>
      </c>
      <c r="F90" s="101" t="str">
        <f>IF($A90="","",COUNTIFS('GECC 2026'!F$2:F$200,$A90))</f>
        <v/>
      </c>
    </row>
    <row r="91" spans="2:6" x14ac:dyDescent="0.25">
      <c r="B91" s="103" t="str">
        <f>IF($A91="","",SUMIFS('GECC 2026'!H$2:H$200,'GECC 2026'!F$2:F$200,$A91))</f>
        <v/>
      </c>
      <c r="C91" s="103" t="str">
        <f>IF($A91="","",SUMIFS('GECC 2026'!I$2:I$200,'GECC 2026'!F$2:F$200,$A91))</f>
        <v/>
      </c>
      <c r="D91" s="255" t="str">
        <f>IF($A91="","",SUMIFS('GECC 2026'!$AE$3:$AE$32,'GECC 2026'!$AD$3:$AD$32,$A91))</f>
        <v/>
      </c>
      <c r="E91" s="240" t="str">
        <f>IF($A91="","",SUMIFS('GECC 2026'!J$2:J$200,'GECC 2026'!F$2:F$200,$A91)+SUMIFS('GECC 2026'!$AE$3:$AE$32,'GECC 2026'!$AD$3:$AD$32,$A91))</f>
        <v/>
      </c>
      <c r="F91" s="101" t="str">
        <f>IF($A91="","",COUNTIFS('GECC 2026'!F$2:F$200,$A91))</f>
        <v/>
      </c>
    </row>
    <row r="92" spans="2:6" x14ac:dyDescent="0.25">
      <c r="B92" s="103" t="str">
        <f>IF($A92="","",SUMIFS('GECC 2026'!H$2:H$200,'GECC 2026'!F$2:F$200,$A92))</f>
        <v/>
      </c>
      <c r="C92" s="103" t="str">
        <f>IF($A92="","",SUMIFS('GECC 2026'!I$2:I$200,'GECC 2026'!F$2:F$200,$A92))</f>
        <v/>
      </c>
      <c r="D92" s="255" t="str">
        <f>IF($A92="","",SUMIFS('GECC 2026'!$AE$3:$AE$32,'GECC 2026'!$AD$3:$AD$32,$A92))</f>
        <v/>
      </c>
      <c r="E92" s="240" t="str">
        <f>IF($A92="","",SUMIFS('GECC 2026'!J$2:J$200,'GECC 2026'!F$2:F$200,$A92)+SUMIFS('GECC 2026'!$AE$3:$AE$32,'GECC 2026'!$AD$3:$AD$32,$A92))</f>
        <v/>
      </c>
      <c r="F92" s="101" t="str">
        <f>IF($A92="","",COUNTIFS('GECC 2026'!F$2:F$200,$A92))</f>
        <v/>
      </c>
    </row>
    <row r="93" spans="2:6" x14ac:dyDescent="0.25">
      <c r="B93" s="103" t="str">
        <f>IF($A93="","",SUMIFS('GECC 2026'!H$2:H$200,'GECC 2026'!F$2:F$200,$A93))</f>
        <v/>
      </c>
      <c r="C93" s="103" t="str">
        <f>IF($A93="","",SUMIFS('GECC 2026'!I$2:I$200,'GECC 2026'!F$2:F$200,$A93))</f>
        <v/>
      </c>
      <c r="D93" s="255" t="str">
        <f>IF($A93="","",SUMIFS('GECC 2026'!$AE$3:$AE$32,'GECC 2026'!$AD$3:$AD$32,$A93))</f>
        <v/>
      </c>
      <c r="E93" s="240" t="str">
        <f>IF($A93="","",SUMIFS('GECC 2026'!J$2:J$200,'GECC 2026'!F$2:F$200,$A93)+SUMIFS('GECC 2026'!$AE$3:$AE$32,'GECC 2026'!$AD$3:$AD$32,$A93))</f>
        <v/>
      </c>
      <c r="F93" s="101" t="str">
        <f>IF($A93="","",COUNTIFS('GECC 2026'!F$2:F$200,$A93))</f>
        <v/>
      </c>
    </row>
    <row r="94" spans="2:6" x14ac:dyDescent="0.25">
      <c r="B94" s="103" t="str">
        <f>IF($A94="","",SUMIFS('GECC 2026'!H$2:H$200,'GECC 2026'!F$2:F$200,$A94))</f>
        <v/>
      </c>
      <c r="C94" s="103" t="str">
        <f>IF($A94="","",SUMIFS('GECC 2026'!I$2:I$200,'GECC 2026'!F$2:F$200,$A94))</f>
        <v/>
      </c>
      <c r="D94" s="255" t="str">
        <f>IF($A94="","",SUMIFS('GECC 2026'!$AE$3:$AE$32,'GECC 2026'!$AD$3:$AD$32,$A94))</f>
        <v/>
      </c>
      <c r="E94" s="240" t="str">
        <f>IF($A94="","",SUMIFS('GECC 2026'!J$2:J$200,'GECC 2026'!F$2:F$200,$A94)+SUMIFS('GECC 2026'!$AE$3:$AE$32,'GECC 2026'!$AD$3:$AD$32,$A94))</f>
        <v/>
      </c>
      <c r="F94" s="101" t="str">
        <f>IF($A94="","",COUNTIFS('GECC 2026'!F$2:F$200,$A94))</f>
        <v/>
      </c>
    </row>
    <row r="95" spans="2:6" x14ac:dyDescent="0.25">
      <c r="B95" s="103" t="str">
        <f>IF($A95="","",SUMIFS('GECC 2026'!H$2:H$200,'GECC 2026'!F$2:F$200,$A95))</f>
        <v/>
      </c>
      <c r="C95" s="103" t="str">
        <f>IF($A95="","",SUMIFS('GECC 2026'!I$2:I$200,'GECC 2026'!F$2:F$200,$A95))</f>
        <v/>
      </c>
      <c r="D95" s="255" t="str">
        <f>IF($A95="","",SUMIFS('GECC 2026'!$AE$3:$AE$32,'GECC 2026'!$AD$3:$AD$32,$A95))</f>
        <v/>
      </c>
      <c r="E95" s="240" t="str">
        <f>IF($A95="","",SUMIFS('GECC 2026'!J$2:J$200,'GECC 2026'!F$2:F$200,$A95)+SUMIFS('GECC 2026'!$AE$3:$AE$32,'GECC 2026'!$AD$3:$AD$32,$A95))</f>
        <v/>
      </c>
      <c r="F95" s="101" t="str">
        <f>IF($A95="","",COUNTIFS('GECC 2026'!F$2:F$200,$A95))</f>
        <v/>
      </c>
    </row>
    <row r="96" spans="2:6" x14ac:dyDescent="0.25">
      <c r="B96" s="103" t="str">
        <f>IF($A96="","",SUMIFS('GECC 2026'!H$2:H$200,'GECC 2026'!F$2:F$200,$A96))</f>
        <v/>
      </c>
      <c r="C96" s="103" t="str">
        <f>IF($A96="","",SUMIFS('GECC 2026'!I$2:I$200,'GECC 2026'!F$2:F$200,$A96))</f>
        <v/>
      </c>
      <c r="D96" s="255" t="str">
        <f>IF($A96="","",SUMIFS('GECC 2026'!$AE$3:$AE$32,'GECC 2026'!$AD$3:$AD$32,$A96))</f>
        <v/>
      </c>
      <c r="E96" s="240" t="str">
        <f>IF($A96="","",SUMIFS('GECC 2026'!J$2:J$200,'GECC 2026'!F$2:F$200,$A96)+SUMIFS('GECC 2026'!$AE$3:$AE$32,'GECC 2026'!$AD$3:$AD$32,$A96))</f>
        <v/>
      </c>
      <c r="F96" s="101" t="str">
        <f>IF($A96="","",COUNTIFS('GECC 2026'!F$2:F$200,$A96))</f>
        <v/>
      </c>
    </row>
    <row r="97" spans="1:6" x14ac:dyDescent="0.25">
      <c r="B97" s="103" t="str">
        <f>IF($A97="","",SUMIFS('GECC 2026'!H$2:H$200,'GECC 2026'!F$2:F$200,$A97))</f>
        <v/>
      </c>
      <c r="C97" s="103" t="str">
        <f>IF($A97="","",SUMIFS('GECC 2026'!I$2:I$200,'GECC 2026'!F$2:F$200,$A97))</f>
        <v/>
      </c>
      <c r="D97" s="255" t="str">
        <f>IF($A97="","",SUMIFS('GECC 2026'!$AE$3:$AE$32,'GECC 2026'!$AD$3:$AD$32,$A97))</f>
        <v/>
      </c>
      <c r="E97" s="240" t="str">
        <f>IF($A97="","",SUMIFS('GECC 2026'!J$2:J$200,'GECC 2026'!F$2:F$200,$A97)+SUMIFS('GECC 2026'!$AE$3:$AE$32,'GECC 2026'!$AD$3:$AD$32,$A97))</f>
        <v/>
      </c>
      <c r="F97" s="101" t="str">
        <f>IF($A97="","",COUNTIFS('GECC 2026'!F$2:F$200,$A97))</f>
        <v/>
      </c>
    </row>
    <row r="98" spans="1:6" x14ac:dyDescent="0.25">
      <c r="B98" s="103" t="str">
        <f>IF($A98="","",SUMIFS('GECC 2026'!H$2:H$200,'GECC 2026'!F$2:F$200,$A98))</f>
        <v/>
      </c>
      <c r="C98" s="103" t="str">
        <f>IF($A98="","",SUMIFS('GECC 2026'!I$2:I$200,'GECC 2026'!F$2:F$200,$A98))</f>
        <v/>
      </c>
      <c r="D98" s="255" t="str">
        <f>IF($A98="","",SUMIFS('GECC 2026'!$AE$3:$AE$32,'GECC 2026'!$AD$3:$AD$32,$A98))</f>
        <v/>
      </c>
      <c r="E98" s="240" t="str">
        <f>IF($A98="","",SUMIFS('GECC 2026'!J$2:J$200,'GECC 2026'!F$2:F$200,$A98)+SUMIFS('GECC 2026'!$AE$3:$AE$32,'GECC 2026'!$AD$3:$AD$32,$A98))</f>
        <v/>
      </c>
      <c r="F98" s="101" t="str">
        <f>IF($A98="","",COUNTIFS('GECC 2026'!F$2:F$200,$A98))</f>
        <v/>
      </c>
    </row>
    <row r="99" spans="1:6" x14ac:dyDescent="0.25">
      <c r="B99" s="103" t="str">
        <f>IF($A99="","",SUMIFS('GECC 2026'!H$2:H$200,'GECC 2026'!F$2:F$200,$A99))</f>
        <v/>
      </c>
      <c r="C99" s="103" t="str">
        <f>IF($A99="","",SUMIFS('GECC 2026'!I$2:I$200,'GECC 2026'!F$2:F$200,$A99))</f>
        <v/>
      </c>
      <c r="D99" s="255" t="str">
        <f>IF($A99="","",SUMIFS('GECC 2026'!$AE$3:$AE$32,'GECC 2026'!$AD$3:$AD$32,$A99))</f>
        <v/>
      </c>
      <c r="E99" s="240" t="str">
        <f>IF($A99="","",SUMIFS('GECC 2026'!J$2:J$200,'GECC 2026'!F$2:F$200,$A99)+SUMIFS('GECC 2026'!$AE$3:$AE$32,'GECC 2026'!$AD$3:$AD$32,$A99))</f>
        <v/>
      </c>
      <c r="F99" s="101" t="str">
        <f>IF($A99="","",COUNTIFS('GECC 2026'!F$2:F$200,$A99))</f>
        <v/>
      </c>
    </row>
    <row r="100" spans="1:6" x14ac:dyDescent="0.25">
      <c r="B100" s="103" t="str">
        <f>IF($A100="","",SUMIFS('GECC 2026'!H$2:H$200,'GECC 2026'!F$2:F$200,$A100))</f>
        <v/>
      </c>
      <c r="C100" s="103" t="str">
        <f>IF($A100="","",SUMIFS('GECC 2026'!I$2:I$200,'GECC 2026'!F$2:F$200,$A100))</f>
        <v/>
      </c>
      <c r="D100" s="255" t="str">
        <f>IF($A100="","",SUMIFS('GECC 2026'!$AE$3:$AE$32,'GECC 2026'!$AD$3:$AD$32,$A100))</f>
        <v/>
      </c>
      <c r="E100" s="240" t="str">
        <f>IF($A100="","",SUMIFS('GECC 2026'!J$2:J$200,'GECC 2026'!F$2:F$200,$A100)+SUMIFS('GECC 2026'!$AE$3:$AE$32,'GECC 2026'!$AD$3:$AD$32,$A100))</f>
        <v/>
      </c>
      <c r="F100" s="101" t="str">
        <f>IF($A100="","",COUNTIFS('GECC 2026'!F$2:F$200,$A100))</f>
        <v/>
      </c>
    </row>
    <row r="101" spans="1:6" x14ac:dyDescent="0.25">
      <c r="D101" s="255" t="str">
        <f>IF($A101="","",SUMIFS('GECC 2026'!$AE$3:$AE$32,'GECC 2026'!$AD$3:$AD$32,$A101))</f>
        <v/>
      </c>
      <c r="E101" s="240" t="str">
        <f>IF($A101="","",SUMIFS('GECC 2026'!J$2:J$200,'GECC 2026'!F$2:F$200,$A101)+SUMIFS('GECC 2026'!$AE$3:$AE$32,'GECC 2026'!$AD$3:$AD$32,$A101))</f>
        <v/>
      </c>
    </row>
    <row r="102" spans="1:6" x14ac:dyDescent="0.25">
      <c r="D102" s="255" t="str">
        <f>IF($A102="","",SUMIFS('GECC 2026'!$AE$3:$AE$32,'GECC 2026'!$AD$3:$AD$32,$A102))</f>
        <v/>
      </c>
      <c r="E102" s="240" t="str">
        <f>IF($A102="","",SUMIFS('GECC 2026'!J$2:J$200,'GECC 2026'!F$2:F$200,$A102)+SUMIFS('GECC 2026'!$AE$3:$AE$32,'GECC 2026'!$AD$3:$AD$32,$A102))</f>
        <v/>
      </c>
    </row>
    <row r="103" spans="1:6" x14ac:dyDescent="0.25">
      <c r="D103" s="255" t="str">
        <f>IF($A103="","",SUMIFS('GECC 2026'!$AE$3:$AE$32,'GECC 2026'!$AD$3:$AD$32,$A103))</f>
        <v/>
      </c>
      <c r="E103" s="240" t="str">
        <f>IF($A103="","",SUMIFS('GECC 2026'!J$2:J$200,'GECC 2026'!F$2:F$200,$A103)+SUMIFS('GECC 2026'!$AE$3:$AE$32,'GECC 2026'!$AD$3:$AD$32,$A103))</f>
        <v/>
      </c>
    </row>
    <row r="104" spans="1:6" x14ac:dyDescent="0.25">
      <c r="D104" s="255" t="str">
        <f>IF($A104="","",SUMIFS('GECC 2026'!$AE$3:$AE$32,'GECC 2026'!$AD$3:$AD$32,$A104))</f>
        <v/>
      </c>
      <c r="E104" s="240" t="str">
        <f>IF($A104="","",SUMIFS('GECC 2026'!J$2:J$200,'GECC 2026'!F$2:F$200,$A104)+SUMIFS('GECC 2026'!$AE$3:$AE$32,'GECC 2026'!$AD$3:$AD$32,$A104))</f>
        <v/>
      </c>
    </row>
    <row r="105" spans="1:6" x14ac:dyDescent="0.25">
      <c r="A105" s="241" t="s">
        <v>2921</v>
      </c>
      <c r="B105" s="242">
        <f>SUM(B5:B100)</f>
        <v>696</v>
      </c>
      <c r="C105" s="242">
        <f>SUM(C5:C100)</f>
        <v>387.78000000000003</v>
      </c>
      <c r="D105" s="255">
        <f>IF($A105="","",SUMIFS('GECC 2026'!$AE$3:$AE$32,'GECC 2026'!$AD$3:$AD$32,$A105))</f>
        <v>0</v>
      </c>
      <c r="E105" s="240">
        <f>IF($A105="","",SUMIFS('GECC 2026'!J$2:J$200,'GECC 2026'!F$2:F$200,$A105)+SUMIFS('GECC 2026'!$AE$3:$AE$32,'GECC 2026'!$AD$3:$AD$32,$A105))</f>
        <v>0</v>
      </c>
      <c r="F105" s="243">
        <f>SUM(F5:F100)</f>
        <v>112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686eaa-0658-4f15-b230-9e46c4d089fd">
      <Terms xmlns="http://schemas.microsoft.com/office/infopath/2007/PartnerControls"/>
    </lcf76f155ced4ddcb4097134ff3c332f>
    <TaxCatchAll xmlns="91ce1707-6d34-452b-b217-9734c03e67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3A7BF04652843BCB50FE90745AA50" ma:contentTypeVersion="12" ma:contentTypeDescription="Create a new document." ma:contentTypeScope="" ma:versionID="ef6274641b2f7d621af528393bef14e5">
  <xsd:schema xmlns:xsd="http://www.w3.org/2001/XMLSchema" xmlns:xs="http://www.w3.org/2001/XMLSchema" xmlns:p="http://schemas.microsoft.com/office/2006/metadata/properties" xmlns:ns2="fe686eaa-0658-4f15-b230-9e46c4d089fd" xmlns:ns3="91ce1707-6d34-452b-b217-9734c03e6729" targetNamespace="http://schemas.microsoft.com/office/2006/metadata/properties" ma:root="true" ma:fieldsID="7fa87a3bcf42251a9fb9988d55372596" ns2:_="" ns3:_="">
    <xsd:import namespace="fe686eaa-0658-4f15-b230-9e46c4d089fd"/>
    <xsd:import namespace="91ce1707-6d34-452b-b217-9734c03e67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86eaa-0658-4f15-b230-9e46c4d089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763be7-2c5e-4ee0-a9d0-09b2389b8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1707-6d34-452b-b217-9734c03e67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4bf6c4-1879-4ccf-8c72-3ecbe70bc80b}" ma:internalName="TaxCatchAll" ma:showField="CatchAllData" ma:web="91ce1707-6d34-452b-b217-9734c03e67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AF67B-67F3-479D-896A-04A7BBE7C81F}">
  <ds:schemaRefs>
    <ds:schemaRef ds:uri="http://schemas.microsoft.com/office/2006/metadata/properties"/>
    <ds:schemaRef ds:uri="http://schemas.microsoft.com/office/infopath/2007/PartnerControls"/>
    <ds:schemaRef ds:uri="fe686eaa-0658-4f15-b230-9e46c4d089fd"/>
    <ds:schemaRef ds:uri="91ce1707-6d34-452b-b217-9734c03e6729"/>
  </ds:schemaRefs>
</ds:datastoreItem>
</file>

<file path=customXml/itemProps2.xml><?xml version="1.0" encoding="utf-8"?>
<ds:datastoreItem xmlns:ds="http://schemas.openxmlformats.org/officeDocument/2006/customXml" ds:itemID="{09E963D1-4255-41FD-98AB-5B82B7F67B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B26992-BCD1-4DF2-A87D-5F3BC183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86eaa-0658-4f15-b230-9e46c4d089fd"/>
    <ds:schemaRef ds:uri="91ce1707-6d34-452b-b217-9734c03e67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Ações InCompany</vt:lpstr>
      <vt:lpstr>Cad. Instrutores</vt:lpstr>
      <vt:lpstr>GECC 2026</vt:lpstr>
      <vt:lpstr>Dashboard 2026</vt:lpstr>
      <vt:lpstr>PlanoCap</vt:lpstr>
      <vt:lpstr>Validação Dados</vt:lpstr>
      <vt:lpstr>PlanoCap2627</vt:lpstr>
      <vt:lpstr>Dashboard Maratonas</vt:lpstr>
      <vt:lpstr>Dashboard GECC 2026</vt:lpstr>
      <vt:lpstr>'Ações InCompany'!Area_de_impressao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Silvio Nascimento De Abreu Bueno</dc:creator>
  <cp:keywords/>
  <dc:description/>
  <cp:lastModifiedBy>Silvio Nascimento De Abreu Bueno</cp:lastModifiedBy>
  <cp:revision/>
  <dcterms:created xsi:type="dcterms:W3CDTF">2024-04-02T18:43:15Z</dcterms:created>
  <dcterms:modified xsi:type="dcterms:W3CDTF">2026-07-02T19:16:54Z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0x01010052D3A7BF04652843BCB50FE90745AA50</vt:lpwstr>
  </property>
  <property fmtid="{D5CDD505-2E9C-101B-9397-08002B2CF9AE}" pid="3" name="MediaServiceImageTags">
    <vt:lpwstr/>
  </property>
</Properties>
</file>