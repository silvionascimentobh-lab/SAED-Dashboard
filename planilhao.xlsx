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260" documentId="13_ncr:1_{C887EC22-7CD1-4717-84BE-7303F42C5C0A}" xr6:coauthVersionLast="47" xr6:coauthVersionMax="47" xr10:uidLastSave="{1567116B-8397-4608-85E6-2915FB3B6C18}"/>
  <bookViews>
    <workbookView xWindow="28680" yWindow="-120" windowWidth="29040" windowHeight="15720" xr2:uid="{00000000-000D-0000-FFFF-FFFF00000000}"/>
  </bookViews>
  <sheets>
    <sheet name="Ações InCompany" sheetId="3" r:id="rId1"/>
    <sheet name="Cad. Instrutores" sheetId="28" r:id="rId2"/>
    <sheet name="GECC 2026" sheetId="20" r:id="rId3"/>
    <sheet name="Dashboard 2026" sheetId="26" r:id="rId4"/>
    <sheet name="PlanoCap" sheetId="5" state="hidden" r:id="rId5"/>
    <sheet name="Validação Dados" sheetId="4" state="hidden" r:id="rId6"/>
    <sheet name="PlanoCap2627" sheetId="14" state="hidden" r:id="rId7"/>
    <sheet name="Dashboard Maratonas" sheetId="27" r:id="rId8"/>
    <sheet name="Dashboard GECC 2026" sheetId="23" r:id="rId9"/>
  </sheets>
  <definedNames>
    <definedName name="_xlnm._FilterDatabase" localSheetId="0" hidden="1">'Ações InCompany'!$A$1:$A$748</definedName>
    <definedName name="_xlnm.Print_Area" localSheetId="0">'Ações InCompany'!$A$1:$T$676</definedName>
    <definedName name="ListaInstrutores">tblInstrutores[Instrutor]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AE33" i="20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l="1" a="1"/>
  <c r="E105" i="23" s="1"/>
  <c r="A2" i="20" l="1"/>
  <c r="A5" i="23" a="1"/>
  <c r="D47" i="23"/>
  <c r="E47" i="23"/>
  <c r="F47" i="23"/>
  <c r="C47" i="23"/>
  <c r="B47" i="23"/>
  <c r="D8" i="23" l="1"/>
  <c r="F29" i="23"/>
  <c r="B15" i="23"/>
  <c r="F15" i="23"/>
  <c r="B26" i="23"/>
  <c r="E37" i="23"/>
  <c r="D14" i="23"/>
  <c r="E35" i="23"/>
  <c r="F44" i="23"/>
  <c r="C13" i="23"/>
  <c r="E30" i="23"/>
  <c r="B24" i="23"/>
  <c r="B8" i="23"/>
  <c r="D11" i="23"/>
  <c r="B20" i="23"/>
  <c r="B35" i="23"/>
  <c r="D36" i="23"/>
  <c r="D23" i="23"/>
  <c r="B23" i="23"/>
  <c r="E18" i="23"/>
  <c r="C25" i="23"/>
  <c r="F22" i="23"/>
  <c r="B12" i="23"/>
  <c r="E17" i="23"/>
  <c r="D43" i="23"/>
  <c r="B27" i="23"/>
  <c r="D37" i="23"/>
  <c r="B16" i="23"/>
  <c r="D41" i="23"/>
  <c r="C17" i="23"/>
  <c r="B17" i="23"/>
  <c r="F31" i="23"/>
  <c r="B42" i="23"/>
  <c r="D15" i="23"/>
  <c r="E16" i="23"/>
  <c r="F21" i="23"/>
  <c r="D31" i="23"/>
  <c r="E26" i="23"/>
  <c r="B6" i="23"/>
  <c r="F9" i="23"/>
  <c r="D12" i="23"/>
  <c r="C23" i="23"/>
  <c r="C18" i="23"/>
  <c r="F36" i="23"/>
  <c r="F35" i="23"/>
  <c r="E21" i="23"/>
  <c r="D38" i="23"/>
  <c r="C9" i="23"/>
  <c r="C29" i="23"/>
  <c r="C31" i="23"/>
  <c r="C35" i="23"/>
  <c r="D22" i="23"/>
  <c r="F41" i="23"/>
  <c r="E38" i="23"/>
  <c r="C39" i="23"/>
  <c r="C22" i="23"/>
  <c r="D25" i="23"/>
  <c r="B36" i="23"/>
  <c r="D24" i="23"/>
  <c r="B44" i="23"/>
  <c r="C37" i="23"/>
  <c r="F7" i="23"/>
  <c r="D39" i="23"/>
  <c r="B19" i="23"/>
  <c r="F12" i="23"/>
  <c r="D28" i="23"/>
  <c r="E15" i="23"/>
  <c r="B45" i="23"/>
  <c r="F18" i="23"/>
  <c r="B22" i="23"/>
  <c r="C8" i="23"/>
  <c r="B34" i="23"/>
  <c r="B37" i="23"/>
  <c r="D13" i="23"/>
  <c r="B32" i="23"/>
  <c r="D20" i="23"/>
  <c r="E33" i="23"/>
  <c r="C45" i="23"/>
  <c r="F25" i="23"/>
  <c r="F14" i="23"/>
  <c r="B14" i="23"/>
  <c r="D30" i="23"/>
  <c r="C42" i="23"/>
  <c r="F27" i="23"/>
  <c r="D29" i="23"/>
  <c r="C26" i="23"/>
  <c r="D34" i="23"/>
  <c r="F45" i="23"/>
  <c r="B13" i="23"/>
  <c r="F6" i="23"/>
  <c r="D21" i="23"/>
  <c r="C11" i="23"/>
  <c r="E9" i="23"/>
  <c r="D42" i="23"/>
  <c r="B9" i="23"/>
  <c r="A5" i="23"/>
  <c r="F5" i="23" s="1"/>
  <c r="F24" i="23"/>
  <c r="B43" i="23"/>
  <c r="C21" i="23"/>
  <c r="E32" i="23"/>
  <c r="B30" i="23"/>
  <c r="C46" i="23"/>
  <c r="E19" i="23"/>
  <c r="E39" i="23"/>
  <c r="F16" i="23"/>
  <c r="F42" i="23"/>
  <c r="E14" i="23"/>
  <c r="B40" i="23"/>
  <c r="C15" i="23"/>
  <c r="F10" i="23"/>
  <c r="B10" i="23"/>
  <c r="D7" i="23"/>
  <c r="F46" i="23"/>
  <c r="E11" i="23"/>
  <c r="C34" i="23"/>
  <c r="D27" i="23"/>
  <c r="C33" i="23"/>
  <c r="F17" i="23"/>
  <c r="F28" i="23"/>
  <c r="F11" i="23"/>
  <c r="D33" i="23"/>
  <c r="F19" i="23"/>
  <c r="B7" i="23"/>
  <c r="E46" i="23"/>
  <c r="F26" i="23"/>
  <c r="E44" i="23"/>
  <c r="D35" i="23"/>
  <c r="C24" i="23"/>
  <c r="B18" i="23"/>
  <c r="F20" i="23"/>
  <c r="B31" i="23"/>
  <c r="C28" i="23"/>
  <c r="F32" i="23"/>
  <c r="D9" i="23"/>
  <c r="E27" i="23"/>
  <c r="F38" i="23"/>
  <c r="C19" i="23"/>
  <c r="C7" i="23"/>
  <c r="B33" i="23"/>
  <c r="C40" i="23"/>
  <c r="E42" i="23"/>
  <c r="D18" i="23"/>
  <c r="E23" i="23"/>
  <c r="E24" i="23"/>
  <c r="F40" i="23"/>
  <c r="D17" i="23"/>
  <c r="C6" i="23"/>
  <c r="F30" i="23"/>
  <c r="F37" i="23"/>
  <c r="F8" i="23"/>
  <c r="B28" i="23"/>
  <c r="E6" i="23"/>
  <c r="D16" i="23"/>
  <c r="C30" i="23"/>
  <c r="C38" i="23"/>
  <c r="B39" i="23"/>
  <c r="F33" i="23"/>
  <c r="C44" i="23"/>
  <c r="E29" i="23"/>
  <c r="E22" i="23"/>
  <c r="C12" i="23"/>
  <c r="D19" i="23"/>
  <c r="F13" i="23"/>
  <c r="D40" i="23"/>
  <c r="F34" i="23"/>
  <c r="C36" i="23"/>
  <c r="E45" i="23"/>
  <c r="B38" i="23"/>
  <c r="D45" i="23"/>
  <c r="E31" i="23"/>
  <c r="C32" i="23"/>
  <c r="B46" i="23"/>
  <c r="C43" i="23"/>
  <c r="E41" i="23"/>
  <c r="E43" i="23"/>
  <c r="D6" i="23"/>
  <c r="C20" i="23"/>
  <c r="D44" i="23"/>
  <c r="E25" i="23"/>
  <c r="D46" i="23"/>
  <c r="B29" i="23"/>
  <c r="E8" i="23"/>
  <c r="F43" i="23"/>
  <c r="E28" i="23"/>
  <c r="B11" i="23"/>
  <c r="C16" i="23"/>
  <c r="B21" i="23"/>
  <c r="D26" i="23"/>
  <c r="E12" i="23"/>
  <c r="E7" i="23"/>
  <c r="D10" i="23"/>
  <c r="E40" i="23"/>
  <c r="E13" i="23"/>
  <c r="B25" i="23"/>
  <c r="F23" i="23"/>
  <c r="C27" i="23"/>
  <c r="E10" i="23"/>
  <c r="D32" i="23"/>
  <c r="E20" i="23"/>
  <c r="E34" i="23"/>
  <c r="E36" i="23"/>
  <c r="F39" i="23"/>
  <c r="C14" i="23"/>
  <c r="B41" i="23"/>
  <c r="C10" i="23"/>
  <c r="C41" i="23"/>
  <c r="F105" i="23" l="1"/>
  <c r="G5" i="23"/>
  <c r="C5" i="23"/>
  <c r="C105" i="23" s="1"/>
  <c r="E5" i="23"/>
  <c r="B5" i="23"/>
  <c r="B105" i="23" s="1"/>
  <c r="D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<sst xmlns="http://schemas.openxmlformats.org/spreadsheetml/2006/main" count="6814" uniqueCount="3030">
  <si>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</si>
  <si>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</si>
  <si>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</si>
  <si>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</si>
  <si>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</si>
  <si>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</si>
  <si>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</si>
  <si>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</si>
  <si>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</si>
  <si>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</si>
  <si>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</si>
  <si>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</si>
  <si>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</si>
  <si>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</si>
  <si>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</si>
  <si>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</si>
  <si>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</si>
  <si>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</si>
  <si>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</si>
  <si>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</si>
  <si>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</si>
  <si>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</si>
  <si>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</si>
  <si>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</si>
  <si>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</si>
  <si>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</si>
  <si>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</si>
  <si>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</si>
  <si>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</si>
  <si>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</si>
  <si>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</si>
  <si>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</si>
  <si>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</si>
  <si>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</si>
  <si>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</si>
  <si>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</si>
  <si>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</si>
  <si>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</si>
  <si>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</si>
  <si>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</si>
  <si>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</si>
  <si>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</si>
  <si>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</si>
  <si>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</si>
  <si>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</si>
  <si>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</si>
  <si>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</si>
  <si>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</si>
  <si>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</si>
  <si>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</si>
  <si>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</si>
  <si>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</si>
  <si>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</si>
  <si>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</si>
  <si>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</si>
  <si>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</si>
  <si>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</si>
  <si>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</si>
  <si>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</si>
  <si>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</si>
  <si>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</si>
  <si>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</si>
  <si>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</si>
  <si>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</si>
  <si>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</si>
  <si>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</si>
  <si>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</si>
  <si>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</si>
  <si>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</si>
  <si>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</si>
  <si>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</si>
  <si>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</si>
  <si>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</si>
  <si>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</si>
  <si>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</si>
  <si>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</si>
  <si>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</si>
  <si>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</si>
  <si>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</si>
  <si>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</si>
  <si>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</si>
  <si>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</si>
  <si>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</si>
  <si>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</si>
  <si>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</si>
  <si>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</si>
  <si>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</si>
  <si>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</si>
  <si>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</si>
  <si>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</si>
  <si>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</si>
  <si>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</si>
  <si>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</si>
  <si>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</si>
  <si>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</si>
  <si>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</si>
  <si>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</si>
  <si>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</si>
  <si>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</si>
  <si>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</si>
  <si>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</si>
  <si>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</si>
  <si>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</si>
  <si>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</si>
  <si>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</si>
  <si>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</si>
  <si>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</si>
  <si>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</si>
  <si>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</si>
  <si>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</si>
  <si>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</si>
  <si>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</si>
  <si>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</si>
  <si>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</si>
  <si>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</si>
  <si>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</si>
  <si>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</si>
  <si>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</si>
  <si>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</si>
  <si>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</si>
  <si>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</si>
  <si>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</si>
  <si>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</si>
  <si>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</si>
  <si>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</si>
  <si>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</si>
  <si>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</si>
  <si>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</si>
  <si>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</si>
  <si>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</si>
  <si>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</si>
  <si>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</si>
  <si>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</si>
  <si>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</si>
  <si>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</si>
  <si>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</si>
  <si>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</si>
  <si>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</si>
  <si>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</si>
  <si>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</si>
  <si>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</si>
  <si>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</si>
  <si>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</si>
  <si>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</si>
  <si>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</si>
  <si>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</si>
  <si>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</si>
  <si>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</si>
  <si>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</si>
  <si>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</si>
  <si>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</si>
  <si>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</si>
  <si>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</si>
  <si>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</si>
  <si>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</si>
  <si>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</si>
  <si>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</si>
  <si>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</si>
  <si>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</si>
  <si>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</si>
  <si>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</si>
  <si>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</si>
  <si>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</si>
  <si>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</si>
  <si>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</si>
  <si>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</si>
  <si>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</si>
  <si>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</si>
  <si>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</si>
  <si>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</si>
  <si>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</si>
  <si>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</si>
  <si>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</si>
  <si>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</si>
  <si>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</si>
  <si>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</si>
  <si>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</si>
  <si>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</si>
  <si>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</si>
  <si>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</si>
  <si>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</si>
  <si>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</si>
  <si>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</si>
  <si>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</si>
  <si>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</si>
  <si>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</si>
  <si>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</si>
  <si>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</si>
  <si>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</si>
  <si>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</si>
  <si>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</si>
  <si>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</si>
  <si>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</si>
  <si>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</si>
  <si>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</si>
  <si>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</si>
  <si>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</si>
  <si>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</si>
  <si>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</si>
  <si>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</si>
  <si>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</si>
  <si>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</si>
  <si>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</si>
  <si>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</si>
  <si>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</si>
  <si>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</si>
  <si>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</si>
  <si>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</si>
  <si>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</si>
  <si>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</si>
  <si>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</si>
  <si>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</si>
  <si>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</si>
  <si>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</si>
  <si>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</si>
  <si>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</si>
  <si>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</si>
  <si>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</si>
  <si>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</si>
  <si>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</si>
  <si>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</si>
  <si>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</si>
  <si>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</si>
  <si>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</si>
  <si>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</si>
  <si>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</si>
  <si>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</si>
  <si>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</si>
  <si>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</si>
  <si>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</si>
  <si>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</si>
  <si>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</si>
  <si>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</si>
  <si>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</si>
  <si>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</si>
  <si>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</si>
  <si>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</si>
  <si>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</si>
  <si>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</si>
  <si>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</si>
  <si>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</si>
  <si>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</si>
  <si>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</si>
  <si>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</si>
  <si>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</si>
  <si>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</si>
  <si>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</si>
  <si>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</si>
  <si>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</si>
  <si>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</si>
  <si>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</si>
  <si>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</si>
  <si>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</si>
  <si>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</si>
  <si>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</si>
  <si>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</si>
  <si>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</si>
  <si>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</si>
  <si>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</si>
  <si>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</si>
  <si>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</si>
  <si>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</si>
  <si>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</si>
  <si>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</si>
  <si>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</si>
  <si>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</si>
  <si>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</si>
  <si>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</si>
  <si>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</si>
  <si>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</si>
  <si>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</si>
  <si>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</si>
  <si>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</si>
  <si>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</si>
  <si>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</si>
  <si>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</si>
  <si>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</si>
  <si>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</si>
  <si>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</si>
  <si>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</si>
  <si>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</si>
  <si>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</si>
  <si>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</si>
  <si>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</si>
  <si>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</si>
  <si>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</si>
  <si>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</si>
  <si>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</si>
  <si>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</si>
  <si>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</si>
  <si>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</si>
  <si>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</si>
  <si>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</si>
  <si>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</si>
  <si>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</si>
  <si>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</si>
  <si>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</si>
  <si>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</si>
  <si>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</si>
  <si>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</si>
  <si>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</si>
  <si>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</si>
  <si>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</si>
  <si>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</si>
  <si>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</si>
  <si>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</si>
  <si>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</si>
  <si>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</si>
  <si>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</si>
  <si>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</si>
  <si>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</si>
  <si>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</si>
  <si>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</si>
  <si>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</si>
  <si>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</si>
  <si>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</si>
  <si>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</si>
  <si>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</si>
  <si>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</si>
  <si>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</si>
  <si>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</si>
  <si>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</si>
  <si>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</si>
  <si>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</si>
  <si>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</si>
  <si>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</si>
  <si>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</si>
  <si>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</si>
  <si>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</si>
  <si>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</si>
  <si>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</si>
  <si>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</si>
  <si>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</si>
  <si>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</si>
  <si>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</si>
  <si>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</si>
  <si>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</si>
  <si>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</si>
  <si>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</si>
  <si>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</si>
  <si>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</si>
  <si>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</si>
  <si>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</si>
  <si>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</si>
  <si>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</si>
  <si>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</si>
  <si>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</si>
  <si>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</si>
  <si>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</si>
  <si>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</si>
  <si>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</si>
  <si>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</si>
  <si>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</si>
  <si>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</si>
  <si>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</si>
  <si>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</si>
  <si>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</si>
  <si>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</si>
  <si>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</si>
  <si>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</si>
  <si>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</si>
  <si>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</si>
  <si>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</si>
  <si>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</si>
  <si>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</si>
  <si>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</si>
  <si>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</si>
  <si>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</si>
  <si>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</si>
  <si>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</si>
  <si>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</si>
  <si>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</si>
  <si>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</si>
  <si>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</si>
  <si>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</si>
  <si>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</si>
  <si>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</si>
  <si>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</si>
  <si>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</si>
  <si>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</si>
  <si>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</si>
  <si>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</si>
  <si>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</si>
  <si>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</si>
  <si>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</si>
  <si>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</si>
  <si>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</si>
  <si>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</si>
  <si>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</si>
  <si>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</si>
  <si>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</si>
  <si>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</si>
  <si>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</si>
  <si>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</si>
  <si>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</si>
  <si>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</si>
  <si>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</si>
  <si>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</si>
  <si>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</si>
  <si>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</si>
  <si>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</si>
  <si>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</si>
  <si>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</si>
  <si>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</si>
  <si>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</si>
  <si>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</si>
  <si>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</si>
  <si>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</si>
  <si>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</si>
  <si>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</si>
  <si>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</si>
  <si>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</si>
  <si>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</si>
  <si>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</si>
  <si>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</si>
  <si>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</si>
  <si>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</si>
  <si>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</si>
  <si>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</si>
  <si>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</si>
  <si>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</si>
  <si>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</si>
  <si>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</si>
  <si>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</si>
  <si>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</si>
  <si>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</si>
  <si>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</si>
  <si>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</si>
  <si>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</si>
  <si>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</si>
  <si>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</si>
  <si>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</si>
  <si>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</si>
  <si>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</si>
  <si>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</si>
  <si>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</si>
  <si>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</si>
  <si>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</si>
  <si>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</si>
  <si>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</si>
  <si>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</si>
  <si>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</si>
  <si>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</si>
  <si>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</si>
  <si>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</si>
  <si>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</si>
  <si>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</si>
  <si>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</si>
  <si>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</si>
  <si>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</si>
  <si>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</si>
  <si>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</si>
  <si>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</si>
  <si>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</si>
  <si>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</si>
  <si>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</si>
  <si>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</si>
  <si>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</si>
  <si>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</si>
  <si>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</si>
  <si>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</si>
  <si>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</si>
  <si>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</si>
  <si>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</si>
  <si>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</si>
  <si>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</si>
  <si>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</si>
  <si>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</si>
  <si>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</si>
  <si>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</si>
  <si>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</si>
  <si>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</si>
  <si>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</si>
  <si>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</si>
  <si>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</si>
  <si>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</si>
  <si>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</si>
  <si>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</si>
  <si>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</si>
  <si>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</si>
  <si>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</si>
  <si>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</si>
  <si>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</si>
  <si>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</si>
  <si>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</si>
  <si>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</si>
  <si>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</si>
  <si>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</si>
  <si>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</si>
  <si>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</si>
  <si>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</si>
  <si>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</si>
  <si>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</si>
  <si>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</si>
  <si>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</si>
  <si>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</si>
  <si>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</si>
  <si>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</si>
  <si>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</si>
  <si>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</si>
  <si>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</si>
  <si>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</si>
  <si>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</si>
  <si>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</si>
  <si>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</si>
  <si>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</si>
  <si>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</si>
  <si>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</si>
  <si>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</si>
  <si>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</si>
  <si>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</si>
  <si>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</si>
  <si>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</si>
  <si>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</si>
  <si>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</si>
  <si>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</si>
  <si>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</si>
  <si>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</si>
  <si>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</si>
  <si>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</si>
  <si>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</si>
  <si>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</si>
  <si>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</si>
  <si>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</si>
  <si>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</si>
  <si>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</si>
  <si>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</si>
  <si>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</si>
  <si>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</si>
  <si>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</si>
  <si>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</si>
  <si>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</si>
  <si>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</si>
  <si>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</si>
  <si>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</si>
  <si>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</si>
  <si>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</si>
  <si>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</si>
  <si>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</si>
  <si>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</si>
  <si>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</si>
  <si>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</si>
  <si>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</si>
  <si>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</si>
  <si>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</si>
  <si>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</si>
  <si>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</si>
  <si>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</si>
  <si>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</si>
  <si>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</si>
  <si>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</si>
  <si>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</si>
  <si>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</si>
  <si>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</si>
  <si>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</si>
  <si>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</si>
  <si>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</si>
  <si>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</si>
  <si>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</si>
  <si>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</si>
  <si>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</si>
  <si>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</si>
  <si>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</si>
  <si>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</si>
  <si>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</si>
  <si>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</si>
  <si>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</si>
  <si>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</si>
  <si>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</si>
  <si>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</si>
  <si>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</si>
  <si>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</si>
  <si>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</si>
  <si>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</si>
  <si>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</si>
  <si>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</si>
  <si>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</si>
  <si>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</si>
  <si>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</si>
  <si>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</si>
  <si>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</si>
  <si>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</si>
  <si>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</si>
  <si>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</si>
  <si>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</si>
  <si>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</si>
  <si>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</si>
  <si>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</si>
  <si>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</si>
  <si>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</si>
  <si>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</si>
  <si>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</si>
  <si>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</si>
  <si>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</si>
  <si>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</si>
  <si>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</si>
  <si>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</si>
  <si>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</si>
  <si>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</si>
  <si>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</si>
  <si>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</si>
  <si>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</si>
  <si>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</si>
  <si>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</si>
  <si>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</si>
  <si>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</si>
  <si>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</si>
  <si>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</si>
  <si>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</si>
  <si>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</si>
  <si>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</si>
  <si>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</si>
  <si>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</si>
  <si>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</si>
  <si>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</si>
  <si>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</si>
  <si>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</si>
  <si>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</si>
  <si>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</si>
  <si>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</si>
  <si>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</si>
  <si>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</si>
  <si>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</si>
  <si>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</si>
  <si>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</si>
  <si>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</si>
  <si>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</si>
  <si>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</si>
  <si>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</si>
  <si>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</si>
  <si>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</si>
  <si>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</si>
  <si>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</si>
  <si>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</si>
  <si>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</si>
  <si>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</si>
  <si>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</si>
  <si>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</si>
  <si>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</si>
  <si>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</si>
  <si>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</si>
  <si>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</si>
  <si>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</si>
  <si>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</si>
  <si>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</si>
  <si>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</si>
  <si>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</si>
  <si>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</si>
  <si>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</si>
  <si>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</si>
  <si>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</si>
  <si>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</si>
  <si>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</si>
  <si>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</si>
  <si>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</si>
  <si>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</si>
  <si>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</si>
  <si>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</si>
  <si>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</si>
  <si>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</si>
  <si>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</si>
  <si>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</si>
  <si>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</si>
  <si>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</si>
  <si>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</si>
  <si>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</si>
  <si>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</si>
  <si>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</si>
  <si>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</si>
  <si>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</si>
  <si>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</si>
  <si>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</si>
  <si>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</si>
  <si>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</si>
  <si>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</si>
  <si>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</si>
  <si>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</si>
  <si>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</si>
  <si>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</si>
  <si>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</si>
  <si>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</si>
  <si>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</si>
  <si>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</si>
  <si>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</si>
  <si>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</si>
  <si>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</si>
  <si>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</si>
  <si>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</si>
  <si>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</si>
  <si>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</si>
  <si>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</si>
  <si>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</si>
  <si>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</si>
  <si>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</si>
  <si>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</si>
  <si>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</si>
  <si>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</si>
  <si>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</si>
  <si>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</si>
  <si>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</si>
  <si>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</si>
  <si>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</si>
  <si>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</si>
  <si>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</si>
  <si>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</si>
  <si>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</si>
  <si>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</si>
  <si>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</si>
  <si>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</si>
  <si>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</si>
  <si>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</si>
  <si>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</si>
  <si>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</si>
  <si>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</si>
  <si>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</si>
  <si>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</si>
  <si>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</si>
  <si>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</si>
  <si>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</si>
  <si>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</si>
  <si>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</si>
  <si>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</si>
  <si>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</si>
  <si>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</si>
  <si>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</si>
  <si>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</si>
  <si>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</si>
  <si>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</si>
  <si>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</si>
  <si>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</si>
  <si>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</si>
  <si>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</si>
  <si>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</si>
  <si>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</si>
  <si>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</si>
  <si>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</si>
  <si>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</si>
  <si>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</si>
  <si>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</si>
  <si>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</si>
  <si>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</si>
  <si>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</si>
  <si>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</si>
  <si>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</si>
  <si>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</si>
  <si>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</si>
  <si>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</si>
  <si>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</si>
  <si>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</si>
  <si>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</si>
  <si>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</si>
  <si>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</si>
  <si>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</si>
  <si>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</si>
  <si>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</si>
  <si>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</si>
  <si>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</si>
  <si>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</si>
  <si>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</si>
  <si>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</si>
  <si>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</si>
  <si>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</si>
  <si>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</si>
  <si>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</si>
  <si>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</si>
  <si>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</si>
  <si>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</si>
  <si>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</si>
  <si>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</si>
  <si>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</si>
  <si>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</si>
  <si>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</si>
  <si>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</si>
  <si>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</si>
  <si>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</si>
  <si>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</si>
  <si>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</si>
  <si>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</si>
  <si>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</si>
  <si>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</si>
  <si>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</si>
  <si>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</si>
  <si>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</si>
  <si>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</si>
  <si>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</si>
  <si>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</si>
  <si>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</si>
  <si>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</si>
  <si>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</si>
  <si>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</si>
  <si>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</si>
  <si>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</si>
  <si>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</si>
  <si>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</si>
  <si>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</si>
  <si>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</si>
  <si>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</si>
  <si>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</si>
  <si>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</si>
  <si>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</si>
  <si>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</si>
  <si>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</si>
  <si>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</si>
  <si>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</si>
  <si>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</si>
  <si>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</si>
  <si>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</si>
  <si>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</si>
  <si>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</si>
  <si>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</si>
  <si>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</si>
  <si>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</si>
  <si>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</si>
  <si>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</si>
  <si>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</si>
  <si>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</si>
  <si>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</si>
  <si>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</si>
  <si>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</si>
  <si>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</si>
  <si>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</si>
  <si>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</si>
  <si>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</si>
  <si>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</si>
  <si>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</si>
  <si>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</si>
  <si>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</si>
  <si>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</si>
  <si>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</si>
  <si>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</si>
  <si>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</si>
  <si>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</si>
  <si>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</si>
  <si>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</si>
  <si>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</si>
  <si>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</si>
  <si>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</si>
  <si>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</si>
  <si>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</si>
  <si>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</si>
  <si>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</si>
  <si>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</si>
  <si>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</si>
  <si>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</si>
  <si>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</si>
  <si>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</si>
  <si>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</si>
  <si>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</si>
  <si>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</si>
  <si>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</si>
  <si>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</si>
  <si>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</si>
  <si>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</si>
  <si>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</si>
  <si>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</si>
  <si>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</si>
  <si>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</si>
  <si>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</si>
  <si>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</si>
  <si>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</si>
  <si>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</si>
  <si>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</si>
  <si>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</si>
  <si>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</si>
  <si>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</si>
  <si>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</si>
  <si>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</si>
  <si>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</si>
  <si>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</si>
  <si>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</si>
  <si>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</si>
  <si>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</si>
  <si>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</si>
  <si>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</si>
  <si>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</si>
  <si>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</si>
  <si>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</si>
  <si>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</si>
  <si>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</si>
  <si>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</si>
  <si>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</si>
  <si>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</si>
  <si>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</si>
  <si>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</si>
  <si>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</si>
  <si>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</si>
  <si>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</si>
  <si>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</si>
  <si>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</si>
  <si>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</si>
  <si>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</si>
  <si>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</si>
  <si>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</si>
  <si>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</si>
  <si>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</si>
  <si>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</si>
  <si>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</si>
  <si>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</si>
  <si>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</si>
  <si>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</si>
  <si>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</si>
  <si>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</si>
  <si>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</si>
  <si>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</si>
  <si>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</si>
  <si>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</si>
  <si>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</si>
  <si>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</si>
  <si>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</si>
  <si>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</si>
  <si>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</si>
  <si>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</si>
  <si>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</si>
  <si>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</si>
  <si>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</si>
  <si>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</si>
  <si>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</si>
  <si>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</si>
  <si>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</si>
  <si>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</si>
  <si>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</si>
  <si>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</si>
  <si>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</si>
  <si>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</si>
  <si>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</si>
  <si>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</si>
  <si>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</si>
  <si>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</si>
  <si>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</si>
  <si>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</si>
  <si>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</si>
  <si>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</si>
  <si>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</si>
  <si>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</si>
  <si>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</si>
  <si>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</si>
  <si>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</si>
  <si>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</si>
  <si>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</si>
  <si>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</si>
  <si>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</si>
  <si>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</si>
  <si>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</si>
  <si>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</si>
  <si>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</si>
  <si>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</si>
  <si>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</si>
  <si>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</si>
  <si>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</si>
  <si>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</si>
  <si>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</si>
  <si>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</si>
  <si>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</si>
  <si>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</si>
  <si>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</si>
  <si>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</si>
  <si>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</si>
  <si>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</si>
  <si>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</si>
  <si>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</si>
  <si>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</si>
  <si>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</si>
  <si>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</si>
  <si>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</si>
  <si>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</si>
  <si>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</si>
  <si>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</si>
  <si>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</si>
  <si>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</si>
  <si>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</si>
  <si>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</si>
  <si>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</si>
  <si>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</si>
  <si>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</si>
  <si>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</si>
  <si>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</si>
  <si>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</si>
  <si>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</si>
  <si>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</si>
  <si>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</si>
  <si>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</si>
  <si>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</si>
  <si>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</si>
  <si>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</si>
  <si>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</si>
  <si>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</si>
  <si>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</si>
  <si>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</si>
  <si>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</si>
  <si>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</si>
  <si>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</si>
  <si>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</si>
  <si>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</si>
  <si>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</si>
  <si>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</si>
  <si>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</si>
  <si>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</si>
  <si>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</si>
  <si>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</si>
  <si>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</si>
  <si>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</si>
  <si>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</si>
  <si>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</si>
  <si>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</si>
  <si>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</si>
  <si>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</si>
  <si>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</si>
  <si>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</si>
  <si>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</si>
  <si>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</si>
  <si>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</si>
  <si>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</si>
  <si>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</si>
  <si>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</si>
  <si>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</si>
  <si>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</si>
  <si>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</si>
  <si>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</si>
  <si>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</si>
  <si>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</si>
  <si>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</si>
  <si>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</si>
  <si>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</si>
  <si>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</si>
  <si>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</si>
  <si>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</si>
  <si>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</si>
  <si>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</si>
  <si>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</si>
  <si>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</si>
  <si>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</si>
  <si>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</si>
  <si>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</si>
  <si>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</si>
  <si>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</si>
  <si>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</si>
  <si>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</si>
  <si>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</si>
  <si>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</si>
  <si>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</si>
  <si>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</si>
  <si>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</si>
  <si>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</si>
  <si>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</si>
  <si>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</si>
  <si>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</si>
  <si>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</si>
  <si>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</si>
  <si>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</si>
  <si>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</si>
  <si>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</si>
  <si>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</si>
  <si>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</si>
  <si>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</si>
  <si>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</si>
  <si>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</si>
  <si>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</si>
  <si>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</si>
  <si>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</si>
  <si>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</si>
  <si>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</si>
  <si>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</si>
  <si>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</si>
  <si>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</si>
  <si>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</si>
  <si>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</si>
  <si>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</si>
  <si>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</si>
  <si>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</si>
  <si>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</si>
  <si>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</si>
  <si>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</si>
  <si>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</si>
  <si>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</si>
  <si>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</si>
  <si>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</si>
  <si>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</si>
  <si>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</si>
  <si>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</si>
  <si>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</si>
  <si>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</si>
  <si>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</si>
  <si>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</si>
  <si>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</si>
  <si>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</si>
  <si>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</si>
  <si>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</si>
  <si>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</si>
  <si>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</si>
  <si>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</si>
  <si>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</si>
  <si>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</si>
  <si>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</si>
  <si>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</si>
  <si>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</si>
  <si>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</si>
  <si>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</si>
  <si>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</si>
  <si>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</si>
  <si>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</si>
  <si>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</si>
  <si>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</si>
  <si>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</si>
  <si>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</si>
  <si>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</si>
  <si>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</si>
  <si>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</si>
  <si>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</si>
  <si>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</si>
  <si>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</si>
  <si>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</si>
  <si>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</si>
  <si>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</si>
  <si>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</si>
  <si>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</si>
  <si>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</si>
  <si>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</si>
  <si>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</si>
  <si>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</si>
  <si>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</si>
  <si>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</si>
  <si>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</si>
  <si>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</si>
  <si>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</si>
  <si>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</si>
  <si>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</si>
  <si>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</si>
  <si>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</si>
  <si>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</si>
  <si>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</si>
  <si>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</si>
  <si>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</si>
  <si>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</si>
  <si>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</si>
  <si>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</si>
  <si>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</si>
  <si>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</si>
  <si>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</si>
  <si>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</si>
  <si>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</si>
  <si>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</si>
  <si>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</si>
  <si>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</si>
  <si>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</si>
  <si>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</si>
  <si>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</si>
  <si>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</si>
  <si>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</si>
  <si>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</si>
  <si>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</si>
  <si>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</si>
  <si>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</si>
  <si>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</si>
  <si>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</si>
  <si>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</si>
  <si>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</si>
  <si>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</si>
  <si>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</si>
  <si>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</si>
  <si>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</si>
  <si>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</si>
  <si>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</si>
  <si>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</si>
  <si>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</si>
  <si>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</si>
  <si>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</si>
  <si>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</si>
  <si>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</si>
  <si>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</si>
  <si>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</si>
  <si>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</si>
  <si>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</si>
  <si>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</si>
  <si>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</si>
  <si>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</si>
  <si>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</si>
  <si>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</si>
  <si>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</si>
  <si>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</si>
  <si>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</si>
  <si>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</si>
  <si>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</si>
  <si>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</si>
  <si>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</si>
  <si>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</si>
  <si>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</si>
  <si>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</si>
  <si>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</si>
  <si>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</si>
  <si>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</si>
  <si>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</si>
  <si>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</si>
  <si>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</si>
  <si>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</si>
  <si>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</si>
  <si>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</si>
  <si>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</si>
  <si>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</si>
  <si>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</si>
  <si>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</si>
  <si>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</si>
  <si>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</si>
  <si>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</si>
  <si>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</si>
  <si>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</si>
  <si>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</si>
  <si>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</si>
  <si>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</si>
  <si>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</si>
  <si>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</si>
  <si>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</si>
  <si>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</si>
  <si>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</si>
  <si>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</si>
  <si>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</si>
  <si>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</si>
  <si>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</si>
  <si>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</si>
  <si>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</si>
  <si>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</si>
  <si>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</si>
  <si>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</si>
  <si>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</si>
  <si>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</si>
  <si>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</si>
  <si>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</si>
  <si>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</si>
  <si>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</si>
  <si>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</si>
  <si>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</si>
  <si>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</si>
  <si>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</si>
  <si>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</si>
  <si>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</si>
  <si>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</si>
  <si>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</si>
  <si>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</si>
  <si>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</si>
  <si>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</si>
  <si>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</si>
  <si>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</si>
  <si>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</si>
  <si>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</si>
  <si>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</si>
  <si>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</si>
  <si>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</si>
  <si>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</si>
  <si>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</si>
  <si>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</si>
  <si>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</si>
  <si>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</si>
  <si>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</si>
  <si>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</si>
  <si>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</si>
  <si>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</si>
  <si>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</si>
  <si>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</si>
  <si>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</si>
  <si>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</si>
  <si>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</si>
  <si>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</si>
  <si>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</si>
  <si>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</si>
  <si>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</si>
  <si>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</si>
  <si>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</si>
  <si>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</si>
  <si>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</si>
  <si>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</si>
  <si>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</si>
  <si>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</si>
  <si>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</si>
  <si>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</si>
  <si>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</si>
  <si>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</si>
  <si>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</si>
  <si>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</si>
  <si>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</si>
  <si>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</si>
  <si>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</si>
  <si>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</si>
  <si>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</si>
  <si>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</si>
  <si>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</si>
  <si>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</si>
  <si>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</si>
  <si>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</si>
  <si>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</si>
  <si>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</si>
  <si>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</si>
  <si>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</si>
  <si>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</si>
  <si>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</si>
  <si>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</si>
  <si>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</si>
  <si>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</si>
  <si>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</si>
  <si>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</si>
  <si>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</si>
  <si>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</si>
  <si>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</si>
  <si>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</si>
  <si>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</si>
  <si>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</si>
  <si>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</si>
  <si>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</si>
  <si>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</si>
  <si>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</si>
  <si>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</si>
  <si>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</si>
  <si>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</si>
  <si>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</si>
  <si>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</si>
  <si>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</si>
  <si>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</si>
  <si>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</si>
  <si>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</si>
  <si>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</si>
  <si>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</si>
  <si>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</si>
  <si>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</si>
  <si>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</si>
  <si>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</si>
  <si>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</si>
  <si>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</si>
  <si>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</si>
  <si>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</si>
  <si>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</si>
  <si>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</si>
  <si>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</si>
  <si>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</si>
  <si>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</si>
  <si>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</si>
  <si>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</si>
  <si>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</si>
  <si>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</si>
  <si>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</si>
  <si>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</si>
  <si>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</si>
  <si>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</si>
  <si>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</si>
  <si>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</si>
  <si>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</si>
  <si>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</si>
  <si>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</si>
  <si>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</si>
  <si>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</si>
  <si>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</si>
  <si>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</si>
  <si>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</si>
  <si>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</si>
  <si>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</si>
  <si>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</si>
  <si>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</si>
  <si>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</si>
  <si>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</si>
  <si>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</si>
  <si>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</si>
  <si>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</si>
  <si>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</si>
  <si>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</si>
  <si>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</si>
  <si>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</si>
  <si>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</si>
  <si>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</si>
  <si>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</si>
  <si>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</si>
  <si>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</si>
  <si>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</si>
  <si>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</si>
  <si>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</si>
  <si>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</si>
  <si>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</si>
  <si>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</si>
  <si>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</si>
  <si>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</si>
  <si>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</si>
  <si>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</si>
  <si>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</si>
  <si>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</si>
  <si>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</si>
  <si>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</si>
  <si>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</si>
  <si>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</si>
  <si>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</si>
  <si>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</si>
  <si>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</si>
  <si>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</si>
  <si>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</si>
  <si>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</si>
  <si>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</si>
  <si>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</si>
  <si>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</si>
  <si>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</si>
  <si>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</si>
  <si>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</si>
  <si>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</si>
  <si>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</si>
  <si>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</si>
  <si>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</si>
  <si>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</si>
  <si>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</si>
  <si>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</si>
  <si>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</si>
  <si>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</si>
  <si>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</si>
  <si>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</si>
  <si>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</si>
  <si>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</si>
  <si>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</si>
  <si>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</si>
  <si>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</si>
  <si>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</si>
  <si>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</si>
  <si>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</si>
  <si>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</si>
  <si>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</si>
  <si>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</si>
  <si>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</si>
  <si>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</si>
  <si>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</si>
  <si>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</si>
  <si>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</si>
  <si>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</si>
  <si>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</si>
  <si>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</si>
  <si>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</si>
  <si>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</si>
  <si>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</si>
  <si>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</si>
  <si>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</si>
  <si>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</si>
  <si>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</si>
  <si>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</si>
  <si>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</si>
  <si>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</si>
  <si>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</si>
  <si>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</si>
  <si>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</si>
  <si>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</si>
  <si>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</si>
  <si>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</si>
  <si>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</si>
  <si>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</si>
  <si>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</si>
  <si>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</si>
  <si>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</si>
  <si>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</si>
  <si>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</si>
  <si>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</si>
  <si>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</si>
  <si>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</si>
  <si>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</si>
  <si>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</si>
  <si>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</si>
  <si>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</si>
  <si>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</si>
  <si>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</si>
  <si>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</si>
  <si>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</si>
  <si>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</si>
  <si>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</si>
  <si>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</si>
  <si>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</si>
  <si>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</si>
  <si>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</si>
  <si>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</si>
  <si>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</si>
  <si>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</si>
  <si>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</si>
  <si>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</si>
  <si>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</si>
  <si>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</si>
  <si>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</si>
  <si>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</si>
  <si>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</si>
  <si>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</si>
  <si>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</si>
  <si>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</si>
  <si>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</si>
  <si>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</si>
  <si>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</si>
  <si>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</si>
  <si>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</si>
  <si>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</si>
  <si>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</si>
  <si>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</si>
  <si>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</si>
  <si>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</si>
  <si>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</si>
  <si>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</si>
  <si>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</si>
  <si>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</si>
  <si>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</si>
  <si>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</si>
  <si>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</si>
  <si>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</si>
  <si>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</si>
  <si>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</si>
  <si>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</si>
  <si>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</si>
  <si>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</si>
  <si>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</si>
  <si>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</si>
  <si>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</si>
  <si>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</si>
  <si>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</si>
  <si>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</si>
  <si>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</si>
  <si>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</si>
  <si>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</si>
  <si>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</si>
  <si>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</si>
  <si>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</si>
  <si>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</si>
  <si>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</si>
  <si>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</si>
  <si>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</si>
  <si>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</si>
  <si>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</si>
  <si>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</si>
  <si>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</si>
  <si>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</si>
  <si>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</si>
  <si>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</si>
  <si>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</si>
  <si>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</si>
  <si>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</si>
  <si>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</si>
  <si>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</si>
  <si>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</si>
  <si>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</si>
  <si>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</si>
  <si>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</si>
  <si>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</si>
  <si>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</si>
  <si>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</si>
  <si>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</si>
  <si>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</si>
  <si>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</si>
  <si>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</si>
  <si>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</si>
  <si>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</si>
  <si>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</si>
  <si>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</si>
  <si>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</si>
  <si>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</si>
  <si>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</si>
  <si>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</si>
  <si>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</si>
  <si>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</si>
  <si>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</si>
  <si>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</si>
  <si>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</si>
  <si>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</si>
  <si>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</si>
  <si>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</si>
  <si>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</si>
  <si>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</si>
  <si>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</si>
  <si>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</si>
  <si>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</si>
  <si>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</si>
  <si>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</si>
  <si>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</si>
  <si>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</si>
  <si>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</si>
  <si>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</si>
  <si>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</si>
  <si>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</si>
  <si>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</si>
  <si>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</si>
  <si>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</si>
  <si>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</si>
  <si>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</si>
  <si>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</si>
  <si>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</si>
  <si>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</si>
  <si>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</si>
  <si>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</si>
  <si>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</si>
  <si>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</si>
  <si>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</si>
  <si>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</si>
  <si>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</si>
  <si>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</si>
  <si>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</si>
  <si>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</si>
  <si>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</si>
  <si>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</si>
  <si>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</si>
  <si>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</si>
  <si>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</si>
  <si>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</si>
  <si>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</si>
  <si>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</si>
  <si>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</si>
  <si>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</si>
  <si>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</si>
  <si>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</si>
  <si>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</si>
  <si>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</si>
  <si>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</si>
  <si>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</si>
  <si>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</si>
  <si>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</si>
  <si>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</si>
  <si>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</si>
  <si>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</si>
  <si>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</si>
  <si>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</si>
  <si>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</si>
  <si>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</si>
  <si>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</si>
  <si>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</si>
  <si>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</si>
  <si>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</si>
  <si>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</si>
  <si>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</si>
  <si>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</si>
  <si>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</si>
  <si>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</si>
  <si>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</si>
  <si>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</si>
  <si>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</si>
  <si>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</si>
  <si>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</si>
  <si>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</si>
  <si>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</si>
  <si>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</si>
  <si>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</si>
  <si>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</si>
  <si>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</si>
  <si>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</si>
  <si>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</si>
  <si>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</si>
  <si>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</si>
  <si>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</si>
  <si>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</si>
  <si>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</si>
  <si>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</si>
  <si>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</si>
  <si>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</si>
  <si>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</si>
  <si>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</si>
  <si>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</si>
  <si>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</si>
  <si>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</si>
  <si>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</si>
  <si>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</si>
  <si>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</si>
  <si>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</si>
  <si>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</si>
  <si>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</si>
  <si>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</si>
  <si>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</si>
  <si>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</si>
  <si>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</si>
  <si>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</si>
  <si>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</si>
  <si>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</si>
  <si>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</si>
  <si>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</si>
  <si>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</si>
  <si>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</si>
  <si>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</si>
  <si>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</si>
  <si>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</si>
  <si>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</si>
  <si>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</si>
  <si>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</si>
  <si>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</si>
  <si>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</si>
  <si>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</si>
  <si>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</si>
  <si>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</si>
  <si>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</si>
  <si>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</si>
  <si>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</si>
  <si>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</si>
  <si>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</si>
  <si>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</si>
  <si>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</si>
  <si>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</si>
  <si>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</si>
  <si>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</si>
  <si>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</si>
  <si>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</si>
  <si>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</si>
  <si>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</si>
  <si>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</si>
  <si>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</si>
  <si>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</si>
  <si>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</si>
  <si>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</si>
  <si>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</si>
  <si>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</si>
  <si>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</si>
  <si>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</si>
  <si>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</si>
  <si>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</si>
  <si>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</si>
  <si>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</si>
  <si>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</si>
  <si>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</si>
  <si>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</si>
  <si>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</si>
  <si>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</si>
  <si>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</si>
  <si>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</si>
  <si>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</si>
  <si>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</si>
  <si>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</si>
  <si>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</si>
  <si>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</si>
  <si>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</si>
  <si>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</si>
  <si>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</si>
  <si>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</si>
  <si>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</si>
  <si>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</si>
  <si>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</si>
  <si>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</si>
  <si>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</si>
  <si>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</si>
  <si>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</si>
  <si>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</si>
  <si>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</si>
  <si>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</si>
  <si>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</si>
  <si>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</si>
  <si>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</si>
  <si>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</si>
  <si>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</si>
  <si>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</si>
  <si>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</si>
  <si>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</si>
  <si>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</si>
  <si>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</si>
  <si>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</si>
  <si>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</si>
  <si>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</si>
  <si>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</si>
  <si>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</si>
  <si>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</si>
  <si>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</si>
  <si>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</si>
  <si>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</si>
  <si>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</si>
  <si>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</si>
  <si>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</si>
  <si>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</si>
  <si>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</si>
  <si>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</si>
  <si>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</si>
  <si>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</si>
  <si>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</si>
  <si>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</si>
  <si>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</si>
  <si>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</si>
  <si>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</si>
  <si>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</si>
  <si>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</si>
  <si>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</si>
  <si>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</si>
  <si>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</si>
  <si>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</si>
  <si>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</si>
  <si>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</si>
  <si>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</si>
  <si>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</si>
  <si>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</si>
  <si>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</si>
  <si>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</si>
  <si>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</si>
  <si>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</si>
  <si>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</si>
  <si>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</si>
  <si>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</si>
  <si>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</si>
  <si>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</si>
  <si>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</si>
  <si>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</si>
  <si>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</si>
  <si>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</si>
  <si>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</si>
  <si>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</si>
  <si>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</si>
  <si>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</si>
  <si>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</si>
  <si>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</si>
  <si>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</si>
  <si>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</si>
  <si>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</si>
  <si>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</si>
  <si>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</si>
  <si>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</si>
  <si>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</si>
  <si>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</si>
  <si>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</si>
  <si>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</si>
  <si>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</si>
  <si>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</si>
  <si>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</si>
  <si>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</si>
  <si>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</si>
  <si>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</si>
  <si>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</si>
  <si>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</si>
  <si>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</si>
  <si>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</si>
  <si>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</si>
  <si>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</si>
  <si>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</si>
  <si>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</si>
  <si>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</si>
  <si>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</si>
  <si>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</si>
  <si>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</si>
  <si>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</si>
  <si>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</si>
  <si>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</si>
  <si>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</si>
  <si>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</si>
  <si>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</si>
  <si>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</si>
  <si>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</si>
  <si>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</si>
  <si>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</si>
  <si>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</si>
  <si>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</si>
  <si>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</si>
  <si>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</si>
  <si>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</si>
  <si>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</si>
  <si>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</si>
  <si>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</si>
  <si>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</si>
  <si>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</si>
  <si>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</si>
  <si>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</si>
  <si>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</si>
  <si>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</si>
  <si>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</si>
  <si>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</si>
  <si>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</si>
  <si>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</si>
  <si>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</si>
  <si>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</si>
  <si>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</si>
  <si>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</si>
  <si>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</si>
  <si>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</si>
  <si>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</si>
  <si>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</si>
  <si>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</si>
  <si>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</si>
  <si>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</si>
  <si>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</si>
  <si>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</si>
  <si>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</si>
  <si>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</si>
  <si>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</si>
  <si>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</si>
  <si>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</si>
  <si>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</si>
  <si>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</si>
  <si>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</si>
  <si>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</si>
  <si>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</si>
  <si>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</si>
  <si>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</si>
  <si>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</si>
  <si>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</si>
  <si>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</si>
  <si>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</si>
  <si>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</si>
  <si>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</si>
  <si>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</si>
  <si>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</si>
  <si>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</si>
  <si>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</si>
  <si>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</si>
  <si>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</si>
  <si>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</si>
  <si>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</si>
  <si>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</si>
  <si>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</si>
  <si>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</si>
  <si>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</si>
  <si>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</si>
  <si>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</si>
  <si>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</si>
  <si>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</si>
  <si>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</si>
  <si>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</si>
  <si>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</si>
  <si>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</si>
  <si>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</si>
  <si>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</si>
  <si>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</si>
  <si>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</si>
  <si>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</si>
  <si>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</si>
  <si>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</si>
  <si>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</si>
  <si>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</si>
  <si>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</si>
  <si>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</si>
  <si>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</si>
  <si>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</si>
  <si>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</si>
  <si>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</si>
  <si>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</si>
  <si>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</si>
  <si>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</si>
  <si>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</si>
  <si>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</si>
  <si>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</si>
  <si>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</si>
  <si>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</si>
  <si>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</si>
  <si>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</si>
  <si>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</si>
  <si>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</si>
  <si>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</si>
  <si>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</si>
  <si>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</si>
  <si>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</si>
  <si>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</si>
  <si>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</si>
  <si>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</si>
  <si>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</si>
  <si>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</si>
  <si>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</si>
  <si>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</si>
  <si>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</si>
  <si>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</si>
  <si>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</si>
  <si>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</si>
  <si>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</si>
  <si>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</si>
  <si>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</si>
  <si>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</si>
  <si>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</si>
  <si>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</si>
  <si>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</si>
  <si>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</si>
  <si>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</si>
  <si>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</si>
  <si>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</si>
  <si>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</si>
  <si>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</si>
  <si>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</si>
  <si>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</si>
  <si>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</si>
  <si>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</si>
  <si>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</si>
  <si>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</si>
  <si>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</si>
  <si>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</si>
  <si>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</si>
  <si>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</si>
  <si>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</si>
  <si>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</si>
  <si>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</si>
  <si>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</si>
  <si>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</si>
  <si>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</si>
  <si>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</si>
  <si>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</si>
  <si>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</si>
  <si>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</si>
  <si>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</si>
  <si>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</si>
  <si>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</si>
  <si>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</si>
  <si>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</si>
  <si>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</si>
  <si>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</si>
  <si>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</si>
  <si>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</si>
  <si>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</si>
  <si>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</si>
  <si>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</si>
  <si>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</si>
  <si>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</si>
  <si>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</si>
  <si>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</si>
  <si>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</si>
  <si>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</si>
  <si>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</si>
  <si>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</si>
  <si>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</si>
  <si>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</si>
  <si>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</si>
  <si>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</si>
  <si>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</si>
  <si>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</si>
  <si>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</si>
  <si>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</si>
  <si>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</si>
  <si>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</si>
  <si>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</si>
  <si>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</si>
  <si>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</si>
  <si>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</si>
  <si>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</si>
  <si>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</si>
  <si>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</si>
  <si>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</si>
  <si>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</si>
  <si>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</si>
  <si>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</si>
  <si>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</si>
  <si>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</si>
  <si>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</si>
  <si>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</si>
  <si>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</si>
  <si>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</si>
  <si>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</si>
  <si>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</si>
  <si>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</si>
  <si>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</si>
  <si>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</si>
  <si>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</si>
  <si>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</si>
  <si>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</si>
  <si>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</si>
  <si>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</si>
  <si>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</si>
  <si>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</si>
  <si>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</si>
  <si>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</si>
  <si>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</si>
  <si>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</si>
  <si>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</si>
  <si>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</si>
  <si>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</si>
  <si>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</si>
  <si>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</si>
  <si>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</si>
  <si>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</si>
  <si>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</si>
  <si>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</si>
  <si>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</si>
  <si>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</si>
  <si>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</si>
  <si>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</si>
  <si>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</si>
  <si>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</si>
  <si>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</si>
  <si>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</si>
  <si>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</si>
  <si>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</si>
  <si>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</si>
  <si>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</si>
  <si>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</si>
  <si>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</si>
  <si>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</si>
  <si>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</si>
  <si>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</si>
  <si>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</si>
  <si>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</si>
  <si>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</si>
  <si>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</si>
  <si>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</si>
  <si>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</si>
  <si>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</si>
  <si>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</si>
  <si>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</si>
  <si>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</si>
  <si>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</si>
  <si>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</si>
  <si>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</si>
  <si>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</si>
  <si>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</si>
  <si>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</si>
  <si>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</si>
  <si>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</si>
  <si>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</si>
  <si>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</si>
  <si>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</si>
  <si>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</si>
  <si>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</si>
  <si>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</si>
  <si>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</si>
  <si>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</si>
  <si>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</si>
  <si>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</si>
  <si>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</si>
  <si>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</si>
  <si>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</si>
  <si>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</si>
  <si>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</si>
  <si>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</si>
  <si>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</si>
  <si>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</si>
  <si>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</si>
  <si>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</si>
  <si>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</si>
  <si>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</si>
  <si>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</si>
  <si>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</si>
  <si>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</si>
  <si>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</si>
  <si>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</si>
  <si>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</si>
  <si>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</si>
  <si>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</si>
  <si>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</si>
  <si>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</si>
  <si>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</si>
  <si>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</si>
  <si>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</si>
  <si>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</si>
  <si>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</si>
  <si>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</si>
  <si>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</si>
  <si>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</si>
  <si>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</si>
  <si>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</si>
  <si>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</si>
  <si>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</si>
  <si>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</si>
  <si>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</si>
  <si>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</si>
  <si>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</si>
  <si>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</si>
  <si>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</si>
  <si>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</si>
  <si>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</si>
  <si>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</si>
  <si>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</si>
  <si>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</si>
  <si>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</si>
  <si>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</si>
  <si>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</si>
  <si>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</si>
  <si>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</si>
  <si>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</si>
  <si>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</si>
  <si>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</si>
  <si>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</si>
  <si>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</si>
  <si>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</si>
  <si>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</si>
  <si>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</si>
  <si>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</si>
  <si>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</si>
  <si>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</si>
  <si>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</si>
  <si>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</si>
  <si>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</si>
  <si>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</si>
  <si>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</si>
  <si>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</si>
  <si>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</si>
  <si>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</si>
  <si>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</si>
  <si>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</si>
  <si>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</si>
  <si>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</si>
  <si>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</si>
  <si>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</si>
  <si>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</si>
  <si>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</si>
  <si>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</si>
  <si>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</si>
  <si>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</si>
  <si>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</si>
  <si>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</si>
  <si>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</si>
  <si>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</si>
  <si>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</si>
  <si>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</si>
  <si>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</si>
  <si>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</si>
  <si>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</si>
  <si>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</si>
  <si>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</si>
  <si>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</si>
  <si>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</si>
  <si>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</si>
  <si>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</si>
  <si>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</si>
  <si>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</si>
  <si>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</si>
  <si>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</si>
  <si>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</si>
  <si>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</si>
  <si>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</si>
  <si>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</si>
  <si>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</si>
  <si>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</si>
  <si>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</si>
  <si>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</si>
  <si>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</si>
  <si>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</si>
  <si>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</si>
  <si>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</si>
  <si>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</si>
  <si>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</si>
  <si>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</si>
  <si>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</si>
  <si>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</si>
  <si>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</si>
  <si>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</si>
  <si>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</si>
  <si>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</si>
  <si>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</si>
  <si>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</si>
  <si>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</si>
  <si>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</si>
  <si>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</si>
  <si>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</si>
  <si>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</si>
  <si>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</si>
  <si>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</si>
  <si>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</si>
  <si>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</si>
  <si>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</si>
  <si>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</si>
  <si>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</si>
  <si>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</si>
  <si>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</si>
  <si>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</si>
  <si>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</si>
  <si>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</si>
  <si>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</si>
  <si>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</si>
  <si>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</si>
  <si>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</si>
  <si>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</si>
  <si>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</si>
  <si>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</si>
  <si>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</si>
  <si>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</si>
  <si>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</si>
  <si>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</si>
  <si>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</si>
  <si>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</si>
  <si>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</si>
  <si>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</si>
  <si>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</si>
  <si>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</si>
  <si>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</si>
  <si>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</si>
  <si>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</si>
  <si>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</si>
  <si>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</si>
  <si>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</si>
  <si>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</si>
  <si>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</si>
  <si>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</si>
  <si>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</si>
  <si>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</si>
  <si>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</si>
  <si>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</si>
  <si>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</si>
  <si>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</si>
  <si>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</si>
  <si>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</si>
  <si>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</si>
  <si>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</si>
  <si>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</si>
  <si>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</si>
  <si>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</si>
  <si>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</si>
  <si>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</si>
  <si>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</si>
  <si>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</si>
  <si>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</si>
  <si>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</si>
  <si>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</si>
  <si>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</si>
  <si>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</si>
  <si>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</si>
  <si>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</si>
  <si>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</si>
  <si>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</si>
  <si>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</si>
  <si>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</si>
  <si>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</si>
  <si>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</si>
  <si>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</si>
  <si>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</si>
  <si>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</si>
  <si>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</si>
  <si>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</si>
  <si>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</si>
  <si>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</si>
  <si>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</si>
  <si>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</si>
  <si>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</si>
  <si>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</si>
  <si>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</si>
  <si>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</si>
  <si>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</si>
  <si>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</si>
  <si>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</si>
  <si>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</si>
  <si>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</si>
  <si>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</si>
  <si>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</si>
  <si>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</si>
  <si>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</si>
  <si>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</si>
  <si>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</si>
  <si>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</si>
  <si>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</si>
  <si>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</si>
  <si>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</si>
  <si>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</si>
  <si>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</si>
  <si>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</si>
  <si>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</si>
  <si>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</si>
  <si>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</si>
  <si>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</si>
  <si>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</si>
  <si>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</si>
  <si>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</si>
  <si>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</si>
  <si>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</si>
  <si>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</si>
  <si>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</si>
  <si>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</si>
  <si>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</si>
  <si>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</si>
  <si>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</si>
  <si>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</si>
  <si>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</si>
  <si>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</si>
  <si>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</si>
  <si>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</si>
  <si>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</si>
  <si>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</si>
  <si>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</si>
  <si>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</si>
  <si>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</si>
  <si>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</si>
  <si>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</si>
  <si>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</si>
  <si>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</si>
  <si>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</si>
  <si>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</si>
  <si>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</si>
  <si>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</si>
  <si>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</si>
  <si>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</si>
  <si>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</si>
  <si>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</si>
  <si>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</si>
  <si>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</si>
  <si>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</si>
  <si>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</si>
  <si>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</si>
  <si>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</si>
  <si>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</si>
  <si>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</si>
  <si>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</si>
  <si>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</si>
  <si>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</si>
  <si>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</si>
  <si>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</si>
  <si>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</si>
  <si>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</si>
  <si>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</si>
  <si>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</si>
  <si>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</si>
  <si>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</si>
  <si>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</si>
  <si>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</si>
  <si>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</si>
  <si>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</si>
  <si>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</si>
  <si>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</si>
  <si>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</si>
  <si>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</si>
  <si>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</si>
  <si>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</si>
  <si>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</si>
  <si>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</si>
  <si>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</si>
  <si>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</si>
  <si>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</si>
  <si>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</si>
  <si>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</si>
  <si>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</si>
  <si>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</si>
  <si>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</si>
  <si>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</si>
  <si>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</si>
  <si>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</si>
  <si>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</si>
  <si>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</si>
  <si>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</si>
  <si>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</si>
  <si>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</si>
  <si>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</si>
  <si>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</si>
  <si>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</si>
  <si>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</si>
  <si>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</si>
  <si>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</si>
  <si>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</si>
  <si>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</si>
  <si>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</si>
  <si>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</si>
  <si>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</si>
  <si>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</si>
  <si>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</si>
  <si>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</si>
  <si>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</si>
  <si>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</si>
  <si>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</si>
  <si>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</si>
  <si>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</si>
  <si>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</si>
  <si>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</si>
  <si>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</si>
  <si>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</si>
  <si>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</si>
  <si>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</si>
  <si>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</si>
  <si>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</si>
  <si>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</si>
  <si>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</si>
  <si>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</si>
  <si>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</si>
  <si>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</si>
  <si>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</si>
  <si>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</si>
  <si>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</si>
  <si>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</si>
  <si>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</si>
  <si>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</si>
  <si>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</si>
  <si>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</si>
  <si>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</si>
  <si>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</si>
  <si>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</si>
  <si>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</si>
  <si>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</si>
  <si>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</si>
  <si>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</si>
  <si>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</si>
  <si>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</si>
  <si>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</si>
  <si>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</si>
  <si>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</si>
  <si>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</si>
  <si>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</si>
  <si>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</si>
  <si>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</si>
  <si>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</si>
  <si>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</si>
  <si>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</si>
  <si>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</si>
  <si>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</si>
  <si>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</si>
  <si>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</si>
  <si>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</si>
  <si>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</si>
  <si>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</si>
  <si>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</si>
  <si>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</si>
  <si>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</si>
  <si>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</si>
  <si>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</si>
  <si>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</si>
  <si>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</si>
  <si>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</si>
  <si>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</si>
  <si>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</si>
  <si>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</si>
  <si>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</si>
  <si>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</si>
  <si>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</si>
  <si>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</si>
  <si>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</si>
  <si>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</si>
  <si>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</si>
  <si>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</si>
  <si>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</si>
  <si>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</si>
  <si>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</si>
  <si>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</si>
  <si>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</si>
  <si>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</si>
  <si>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</si>
  <si>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</si>
  <si>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</si>
  <si>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</si>
  <si>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</si>
  <si>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</si>
  <si>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</si>
  <si>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</si>
  <si>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</si>
  <si>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</si>
  <si>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</si>
  <si>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</si>
  <si>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</si>
  <si>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</si>
  <si>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</si>
  <si>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</si>
  <si>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</si>
  <si>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</si>
  <si>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</si>
  <si>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</si>
  <si>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</si>
  <si>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</si>
  <si>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</si>
  <si>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</si>
  <si>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</si>
  <si>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</si>
  <si>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</si>
  <si>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</si>
  <si>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</si>
  <si>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</si>
  <si>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</si>
  <si>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</si>
  <si>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</si>
  <si>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</si>
  <si>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</si>
  <si>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</si>
  <si>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</si>
  <si>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</si>
  <si>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</si>
  <si>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</si>
  <si>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</si>
  <si>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</si>
  <si>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</si>
  <si>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</si>
  <si>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</si>
  <si>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</si>
  <si>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</si>
  <si>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</si>
  <si>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</si>
  <si>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</si>
  <si>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</si>
  <si>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</si>
  <si>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</si>
  <si>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</si>
  <si>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</si>
  <si>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</si>
  <si>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</si>
  <si>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</si>
  <si>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</si>
  <si>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</si>
  <si>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</si>
  <si>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</si>
  <si>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</si>
  <si>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</si>
  <si>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</si>
  <si>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</si>
  <si>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</si>
  <si>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</si>
  <si>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</si>
  <si>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</si>
  <si>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</si>
  <si>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</si>
  <si>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</si>
  <si>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</si>
  <si>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</si>
  <si>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</si>
  <si>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</si>
  <si>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</si>
  <si>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</si>
  <si>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</si>
  <si>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</si>
  <si>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</si>
  <si>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</si>
  <si>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</si>
  <si>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</si>
  <si>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</si>
  <si>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</si>
  <si>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</si>
  <si>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</si>
  <si>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</si>
  <si>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</si>
  <si>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</si>
  <si>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</si>
  <si>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</si>
  <si>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</si>
  <si>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</si>
  <si>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</si>
  <si>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</si>
  <si>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</si>
  <si>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</si>
  <si>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</si>
  <si>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</si>
  <si>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</si>
  <si>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</si>
  <si>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</si>
  <si>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</si>
  <si>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</si>
  <si>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</si>
  <si>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</si>
  <si>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</si>
  <si>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</si>
  <si>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</si>
  <si>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</si>
  <si>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</si>
  <si>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</si>
  <si>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</si>
  <si>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</si>
  <si>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</si>
  <si>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</si>
  <si>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</si>
  <si>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</si>
  <si>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</si>
  <si>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</si>
  <si>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</si>
  <si>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</si>
  <si>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</si>
  <si>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</si>
  <si>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</si>
  <si>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</si>
  <si>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</si>
  <si>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</si>
  <si>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</si>
  <si>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</si>
  <si>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</si>
  <si>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</si>
  <si>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</si>
  <si>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</si>
  <si>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</si>
  <si>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</si>
  <si>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</si>
  <si>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</si>
  <si>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</si>
  <si>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</si>
  <si>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</si>
  <si>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</si>
  <si>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</si>
  <si>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</si>
  <si>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</si>
  <si>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</si>
  <si>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</si>
  <si>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</si>
  <si>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</si>
  <si>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</si>
  <si>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</si>
  <si>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</si>
  <si>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</si>
  <si>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</si>
  <si>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</si>
  <si>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</si>
  <si>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</si>
  <si>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</si>
  <si>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</si>
  <si>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</si>
  <si>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</si>
  <si>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</si>
  <si>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</si>
  <si>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</si>
  <si>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</si>
  <si>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</si>
  <si>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</si>
  <si>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</si>
  <si>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</si>
  <si>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</si>
  <si>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</si>
  <si>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</si>
  <si>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</si>
  <si>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</si>
  <si>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</si>
  <si>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</si>
  <si>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</si>
  <si>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</si>
  <si>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</si>
  <si>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</si>
  <si>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</si>
  <si>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</si>
  <si>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</si>
  <si>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</si>
  <si>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</si>
  <si>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</si>
  <si>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</si>
  <si>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</si>
  <si>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</si>
  <si>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</si>
  <si>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</si>
  <si>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</si>
  <si>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</si>
  <si>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</si>
  <si>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</si>
  <si>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</si>
  <si>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</si>
  <si>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</si>
  <si>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</si>
  <si>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</si>
  <si>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</si>
  <si>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</si>
  <si>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</si>
  <si>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</si>
  <si>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</si>
  <si>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</si>
  <si>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</si>
  <si>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</si>
  <si>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</si>
  <si>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</si>
  <si>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</si>
  <si>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</si>
  <si>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</si>
  <si>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</si>
  <si>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</si>
  <si>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</si>
  <si>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</si>
  <si>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</si>
  <si>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</si>
  <si>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</si>
  <si>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</si>
  <si>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</si>
  <si>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</si>
  <si>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</si>
  <si>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</si>
  <si>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</si>
  <si>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</si>
  <si>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</si>
  <si>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</si>
  <si>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</si>
  <si>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</si>
  <si>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</si>
  <si>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</si>
  <si>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</si>
  <si>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</si>
  <si>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</si>
  <si>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</si>
  <si>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</si>
  <si>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</si>
  <si>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</si>
  <si>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</si>
  <si>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</si>
  <si>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</si>
  <si>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</si>
  <si>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</si>
  <si>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</si>
  <si>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</si>
  <si>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</si>
  <si>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</si>
  <si>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</si>
  <si>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</si>
  <si>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</si>
  <si>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</si>
  <si>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</si>
  <si>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</si>
  <si>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</si>
  <si>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</si>
  <si>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</si>
  <si>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</si>
  <si>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</si>
  <si>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</si>
  <si>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</si>
  <si>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</si>
  <si>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</si>
  <si>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</si>
  <si>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</si>
  <si>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</si>
  <si>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</si>
  <si>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</si>
  <si>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</si>
  <si>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</si>
  <si>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</si>
  <si>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</si>
  <si>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</si>
  <si>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</si>
  <si>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</si>
  <si>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</si>
  <si>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</si>
  <si>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</si>
  <si>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</si>
  <si>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</si>
  <si>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</si>
  <si>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</si>
  <si>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</si>
  <si>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</si>
  <si>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</si>
  <si>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</si>
  <si>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</si>
  <si>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</si>
  <si>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</si>
  <si>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</si>
  <si>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</si>
  <si>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</si>
  <si>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</si>
  <si>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</si>
  <si>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</si>
  <si>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</si>
  <si>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</si>
  <si>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</si>
  <si>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</si>
  <si>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</si>
  <si>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</si>
  <si>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</si>
  <si>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</si>
  <si>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</si>
  <si>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</si>
  <si>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</si>
  <si>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</si>
  <si>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</si>
  <si>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</si>
  <si>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</si>
  <si>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</si>
  <si>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</si>
  <si>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</si>
  <si>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</si>
  <si>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</si>
  <si>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</si>
  <si>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</si>
  <si>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</si>
  <si>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</si>
  <si>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</si>
  <si>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</si>
  <si>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</si>
  <si>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</si>
  <si>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</si>
  <si>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</si>
  <si>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</si>
  <si>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</si>
  <si>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</si>
  <si>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</si>
  <si>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</si>
  <si>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</si>
  <si>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</si>
  <si>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</si>
  <si>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</si>
  <si>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</si>
  <si>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</si>
  <si>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</si>
  <si>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</si>
  <si>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</si>
  <si>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</si>
  <si>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</si>
  <si>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</si>
  <si>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21/08/2026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</si>
  <si>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</si>
  <si>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</si>
  <si>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</si>
  <si>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</si>
  <si>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</si>
  <si>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</si>
  <si>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</si>
  <si>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08/10/2026</t>
  </si>
  <si>
    <t>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</si>
  <si>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</si>
  <si>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</si>
  <si>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</si>
  <si>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</si>
  <si>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</si>
  <si>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</si>
  <si>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</si>
  <si>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</si>
  <si>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</si>
  <si>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</si>
  <si>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</si>
  <si>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</si>
  <si>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</si>
  <si>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</si>
  <si>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</si>
  <si>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</si>
  <si>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</si>
  <si>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</si>
  <si>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</si>
  <si>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</si>
  <si>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</si>
  <si>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</si>
  <si>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</si>
  <si>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</si>
  <si>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</si>
  <si>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</si>
  <si>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</si>
  <si>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</si>
  <si>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</si>
  <si>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</si>
  <si>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</si>
  <si>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</si>
  <si>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</si>
  <si>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</si>
  <si>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</si>
  <si>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</si>
  <si>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</si>
  <si>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</si>
  <si>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</si>
  <si>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</si>
  <si>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</si>
  <si>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</si>
  <si>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</si>
  <si>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</si>
  <si>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</si>
  <si>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</si>
  <si>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</si>
  <si>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</si>
  <si>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</si>
  <si>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</si>
  <si>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</si>
  <si>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</si>
  <si>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</si>
  <si>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</si>
  <si>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</si>
  <si>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</si>
  <si>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</si>
  <si>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</si>
  <si>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</si>
  <si>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</si>
  <si>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</si>
  <si>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</si>
  <si>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</si>
  <si>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</si>
  <si>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</si>
  <si>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</si>
  <si>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</si>
  <si>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</si>
  <si>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</si>
  <si>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</si>
  <si>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</si>
  <si>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</si>
  <si>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</si>
  <si>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</si>
  <si>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</si>
  <si>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</si>
  <si>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</si>
  <si>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</si>
  <si>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</si>
  <si>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</si>
  <si>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</si>
  <si>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</si>
  <si>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</si>
  <si>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</si>
  <si>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</si>
  <si>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</si>
  <si>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</si>
  <si>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</si>
  <si>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</si>
  <si>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</si>
  <si>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</si>
  <si>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</si>
  <si>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</si>
  <si>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</si>
  <si>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</si>
  <si>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</si>
  <si>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</si>
  <si>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</si>
  <si>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</si>
  <si>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</si>
  <si>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</si>
  <si>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</si>
  <si>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</si>
  <si>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</si>
  <si>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</si>
  <si>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</si>
  <si>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</si>
  <si>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</si>
  <si>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</si>
  <si>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</si>
  <si>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</si>
  <si>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</si>
  <si>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</si>
  <si>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</si>
  <si>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</si>
  <si>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</si>
  <si>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</si>
  <si>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</si>
  <si>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</si>
  <si>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</si>
  <si>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</si>
  <si>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</si>
  <si>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</si>
  <si>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</si>
  <si>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</si>
  <si>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</si>
  <si>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</si>
  <si>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</si>
  <si>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</si>
  <si>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</si>
  <si>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</si>
  <si>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</si>
  <si>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</si>
  <si>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</si>
  <si>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</si>
  <si>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</si>
  <si>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</si>
  <si>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</si>
  <si>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</si>
  <si>
    <t>07 a 09/07/2026</t>
  </si>
  <si>
    <t>Adriana Cuoco Portugal; Cinthia Thais de Carvalho Luz Thomazi; Fernanda Viana de Souza; Luiz Felipe Tenório de Lima Gondim; Priscila Nolasco de Oliveira</t>
  </si>
  <si>
    <t>Adriana Cuoco Portugal; Cinthia Thais de Carvalho Luz Thomazi; Fernanda Viana de Souza;  Luiz Felipe Tenório de Lima Gondim; Priscila Nolasco de Oliveira</t>
  </si>
  <si>
    <t>Cinthia Thais de Carvalho Luz Thomazi; Adriana Cuoco Portugal; Fernanda Viana de Souza; Denise Duarte Guirra Kuhlmann;  Priscila Nolasco de Oliveira</t>
  </si>
  <si>
    <t>Cinthia Thais de Carvalho Luz Thomazi; Adriana Cuoco Portugal; Fernanda Viana de Souza; Denise Duarte Guirra Kuhlmann; Priscila Nolasco de Oliveira</t>
  </si>
  <si>
    <t>Cadastro Mestre de Instrutores</t>
  </si>
  <si>
    <t>Tipo</t>
  </si>
  <si>
    <t>Ativo</t>
  </si>
  <si>
    <t>Abdiel Andrade</t>
  </si>
  <si>
    <t>Adriana Magalhães</t>
  </si>
  <si>
    <t>Adriana Salles</t>
  </si>
  <si>
    <t>Arthur Nogueira</t>
  </si>
  <si>
    <t>Daniel Oliveira</t>
  </si>
  <si>
    <t>Diogo dos Santos</t>
  </si>
  <si>
    <t>Ellen Verri Lopes</t>
  </si>
  <si>
    <t>Fabrício Rodrigues</t>
  </si>
  <si>
    <t>Fernanda Cordeiro</t>
  </si>
  <si>
    <t>Gustavo Carvalho</t>
  </si>
  <si>
    <t>Hugo Póvoa</t>
  </si>
  <si>
    <t>Joabe Dutra</t>
  </si>
  <si>
    <t>Karine Caroline</t>
  </si>
  <si>
    <t>Kelly Cristina Domingos</t>
  </si>
  <si>
    <t>Luiz Felipe Gondim</t>
  </si>
  <si>
    <t>Maria Luiza Júnior</t>
  </si>
  <si>
    <t>Mayara Lima</t>
  </si>
  <si>
    <t>Nelson Inocêncio</t>
  </si>
  <si>
    <t>Norton Ferraz</t>
  </si>
  <si>
    <t>Polyana Mota Resende Brant</t>
  </si>
  <si>
    <t>Priscila Nolasco de Oliveira</t>
  </si>
  <si>
    <t>Tatianne Hatem</t>
  </si>
  <si>
    <t>Túllio Herbeth</t>
  </si>
  <si>
    <t>Valéria Cristina</t>
  </si>
  <si>
    <t>Valéria Feitoza</t>
  </si>
  <si>
    <t>Wibys Pereira</t>
  </si>
  <si>
    <t>Sim</t>
  </si>
  <si>
    <t>COMO USAR</t>
  </si>
  <si>
    <t>1) Para adicionar um instrutor novo, digite o nome na coluna 'Instrutor' (uma linha por pessoa).</t>
  </si>
  <si>
    <t>2) A planilha bloqueia nomes repetidos automaticamente.</t>
  </si>
  <si>
    <t>3) Nos cursos (aba 'Ações InCompany', coluna Instrutor) o nome passa a ser escolhido nesta lista, nunca digitado.</t>
  </si>
  <si>
    <t>4) Nunca renomeie a tabela 'tblInstrutores' nem o nome definido 'ListaInstrutores'.</t>
  </si>
  <si>
    <t>SELEÇÃO DE VÁRIOS INSTRUTORES (macro)</t>
  </si>
  <si>
    <t>A lista suspensa nativa escolhe 1 nome por vez. Para acumular vários na mesma célula separados por ';', instale a macro VBA (código no chat).</t>
  </si>
  <si>
    <t>Passos: Alt+F11 &gt; dê duplo clique na aba 'Ações InCompany' &gt; cole o código &gt; salve o arquivo como .xlsm (Pasta habilitada para macros).</t>
  </si>
  <si>
    <t>Sem a macro, tudo funciona normalmente para 1 instrutor por curso; a macro apenas habilita a seleção múltipla acumulada.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</si>
</sst>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  <font>
      <b/>
      <sz val="14"/>
      <color rgb="FF1F4E78"/>
      <name val="Calibri"/>
      <scheme val="minor"/>
    </font>
    <font>
      <b/>
      <sz val="9"/>
      <color rgb="FF7F7F7F"/>
      <name val="Calibri"/>
      <scheme val="minor"/>
    </font>
    <font>
      <sz val="9"/>
      <color rgb="FF7F7F7F"/>
      <name val="Calibri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8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51" fillId="0" borderId="0" xfId="0" applyFont="1" applyAlignment="1">
      <alignment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52" fillId="0" borderId="0" xfId="0" applyFont="1"/>
    <xf numFmtId="0" fontId="53" fillId="0" borderId="0" xfId="0" applyFont="1"/>
    <xf numFmtId="0" fontId="54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28948C-EE5D-4F14-963C-6037481E33E0}" name="tblInstrutores" displayName="tblInstrutores" ref="A3:D88" totalsRowShown="0">
  <autoFilter ref="A3:D88" xr:uid="{8F28948C-EE5D-4F14-963C-6037481E33E0}"/>
  <tableColumns count="4">
    <tableColumn id="1" xr3:uid="{344CF1DC-6E8F-468D-A35B-33EE51F83C01}" name="ID"/>
    <tableColumn id="2" xr3:uid="{768095CB-D292-4265-A60B-E17C5375ABE8}" name="Instrutor"/>
    <tableColumn id="3" xr3:uid="{F6CCD2AA-BB85-4502-BBDF-741731A54DCD}" name="Tipo"/>
    <tableColumn id="4" xr3:uid="{AB8A32A0-EDA1-44E0-AD1C-4429AEA6200C}" name="A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4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topLeftCell="L1" zoomScaleNormal="100" workbookViewId="0">
      <pane ySplit="1" topLeftCell="A674" activePane="bottomLeft" state="frozen"/>
      <selection pane="bottomLeft" activeCell="T688" sqref="T688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2990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2989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2741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2989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2695</v>
      </c>
      <c r="H676" s="38" t="s">
        <v>2745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4" t="s">
        <v>2747</v>
      </c>
      <c r="F677" s="188" t="s">
        <v>23</v>
      </c>
      <c r="G677" s="194" t="s">
        <v>38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5" t="s">
        <v>2754</v>
      </c>
      <c r="F679" s="29" t="s">
        <v>62</v>
      </c>
      <c r="G679" s="179" t="s">
        <v>2690</v>
      </c>
      <c r="H679" s="182" t="s">
        <v>2755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2764</v>
      </c>
      <c r="D680" s="70" t="s">
        <v>2743</v>
      </c>
      <c r="E680" s="65" t="s">
        <v>2757</v>
      </c>
      <c r="F680" s="29" t="s">
        <v>23</v>
      </c>
      <c r="G680" s="20" t="s">
        <v>2695</v>
      </c>
      <c r="H680" s="68" t="s">
        <v>2986</v>
      </c>
      <c r="I680" s="69">
        <v>46272</v>
      </c>
      <c r="J680" s="69">
        <v>46212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12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2" t="s">
        <v>2759</v>
      </c>
      <c r="F681" s="31" t="s">
        <v>62</v>
      </c>
      <c r="G681" s="194" t="s">
        <v>2690</v>
      </c>
      <c r="H681" s="189" t="s">
        <v>2760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62</v>
      </c>
      <c r="G682" s="181" t="s">
        <v>2690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62</v>
      </c>
      <c r="G683" s="21" t="s">
        <v>72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2756</v>
      </c>
      <c r="D684" s="70" t="s">
        <v>2768</v>
      </c>
      <c r="E684" s="164" t="s">
        <v>2769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2764</v>
      </c>
      <c r="D685" s="209" t="s">
        <v>2771</v>
      </c>
      <c r="E685" s="210" t="s">
        <v>2772</v>
      </c>
      <c r="F685" s="211" t="s">
        <v>62</v>
      </c>
      <c r="G685" s="208" t="s">
        <v>72</v>
      </c>
      <c r="H685" s="212" t="s">
        <v>2773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2764</v>
      </c>
      <c r="D686" s="218" t="s">
        <v>2774</v>
      </c>
      <c r="E686" s="239" t="s">
        <v>2775</v>
      </c>
      <c r="F686" s="220" t="s">
        <v>23</v>
      </c>
      <c r="G686" s="217" t="s">
        <v>68</v>
      </c>
      <c r="H686" s="221" t="s">
        <v>2776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2752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2742</v>
      </c>
      <c r="D687" s="209" t="s">
        <v>2777</v>
      </c>
      <c r="E687" s="210" t="s">
        <v>2778</v>
      </c>
      <c r="F687" s="211" t="s">
        <v>23</v>
      </c>
      <c r="G687" s="208" t="s">
        <v>68</v>
      </c>
      <c r="H687" s="212" t="s">
        <v>2779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2780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2781</v>
      </c>
      <c r="E688" s="239" t="s">
        <v>2782</v>
      </c>
      <c r="F688" s="220" t="s">
        <v>81</v>
      </c>
      <c r="G688" s="217" t="s">
        <v>2727</v>
      </c>
      <c r="H688" s="221" t="s">
        <v>2783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2784</v>
      </c>
      <c r="E689" s="244" t="s">
        <v>2785</v>
      </c>
      <c r="F689" s="211" t="s">
        <v>23</v>
      </c>
      <c r="G689" s="208" t="s">
        <v>2711</v>
      </c>
      <c r="H689" s="246" t="s">
        <v>2786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2784</v>
      </c>
      <c r="E690" s="245" t="s">
        <v>2787</v>
      </c>
      <c r="F690" s="220" t="s">
        <v>23</v>
      </c>
      <c r="G690" s="217" t="s">
        <v>2711</v>
      </c>
      <c r="H690" s="247" t="s">
        <v>2788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2789</v>
      </c>
      <c r="E691" s="244" t="s">
        <v>2669</v>
      </c>
      <c r="F691" s="211" t="s">
        <v>23</v>
      </c>
      <c r="G691" s="208" t="s">
        <v>38</v>
      </c>
      <c r="H691" s="212" t="s">
        <v>2790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2791</v>
      </c>
      <c r="E692" s="245" t="s">
        <v>2792</v>
      </c>
      <c r="F692" s="220" t="s">
        <v>23</v>
      </c>
      <c r="G692" s="217" t="s">
        <v>364</v>
      </c>
      <c r="H692" s="221" t="s">
        <v>2793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2794</v>
      </c>
      <c r="E693" s="244" t="s">
        <v>2795</v>
      </c>
      <c r="F693" s="211" t="s">
        <v>23</v>
      </c>
      <c r="G693" s="208" t="s">
        <v>24</v>
      </c>
      <c r="H693" s="212" t="s">
        <v>2796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2797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2764</v>
      </c>
      <c r="D694" s="218" t="s">
        <v>2798</v>
      </c>
      <c r="E694" s="219" t="s">
        <v>2799</v>
      </c>
      <c r="F694" s="220" t="s">
        <v>62</v>
      </c>
      <c r="G694" s="217" t="s">
        <v>2690</v>
      </c>
      <c r="H694" s="221" t="s">
        <v>2800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2764</v>
      </c>
      <c r="D695" s="209" t="s">
        <v>2801</v>
      </c>
      <c r="E695" s="210" t="s">
        <v>2802</v>
      </c>
      <c r="F695" s="211" t="s">
        <v>81</v>
      </c>
      <c r="G695" s="260" t="s">
        <v>2727</v>
      </c>
      <c r="H695" s="212" t="s">
        <v>2803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2804</v>
      </c>
      <c r="E696" s="219" t="s">
        <v>2805</v>
      </c>
      <c r="F696" s="220" t="s">
        <v>81</v>
      </c>
      <c r="G696" s="269" t="s">
        <v>2727</v>
      </c>
      <c r="H696" s="221" t="s">
        <v>2806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2807</v>
      </c>
      <c r="E697" s="210" t="s">
        <v>2808</v>
      </c>
      <c r="F697" s="211" t="s">
        <v>81</v>
      </c>
      <c r="G697" s="260" t="s">
        <v>2727</v>
      </c>
      <c r="H697" s="212" t="s">
        <v>2809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2810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2764</v>
      </c>
      <c r="D698" s="218" t="s">
        <v>2811</v>
      </c>
      <c r="E698" s="219" t="s">
        <v>2812</v>
      </c>
      <c r="F698" s="220" t="s">
        <v>23</v>
      </c>
      <c r="G698" s="217" t="s">
        <v>24</v>
      </c>
      <c r="H698" s="221" t="s">
        <v>2800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2764</v>
      </c>
      <c r="D699" s="209" t="s">
        <v>2813</v>
      </c>
      <c r="E699" s="210" t="s">
        <v>2814</v>
      </c>
      <c r="F699" s="211" t="s">
        <v>23</v>
      </c>
      <c r="G699" s="208" t="s">
        <v>68</v>
      </c>
      <c r="H699" s="212" t="s">
        <v>2815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2816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2764</v>
      </c>
      <c r="D700" s="218" t="s">
        <v>2817</v>
      </c>
      <c r="E700" s="219" t="s">
        <v>2818</v>
      </c>
      <c r="F700" s="220" t="s">
        <v>62</v>
      </c>
      <c r="G700" s="217" t="s">
        <v>72</v>
      </c>
      <c r="H700" s="221" t="s">
        <v>2819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2764</v>
      </c>
      <c r="D701" s="209" t="s">
        <v>2820</v>
      </c>
      <c r="E701" s="210" t="s">
        <v>2821</v>
      </c>
      <c r="F701" s="211" t="s">
        <v>62</v>
      </c>
      <c r="G701" s="208" t="s">
        <v>72</v>
      </c>
      <c r="H701" s="212" t="s">
        <v>2822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2823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2824</v>
      </c>
      <c r="E702" s="219" t="s">
        <v>2825</v>
      </c>
      <c r="F702" s="220" t="s">
        <v>23</v>
      </c>
      <c r="G702" s="217" t="s">
        <v>24</v>
      </c>
      <c r="H702" s="221" t="s">
        <v>2758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2826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2764</v>
      </c>
      <c r="D703" s="209" t="s">
        <v>2827</v>
      </c>
      <c r="E703" s="210" t="s">
        <v>2828</v>
      </c>
      <c r="F703" s="211" t="s">
        <v>62</v>
      </c>
      <c r="G703" s="208" t="s">
        <v>72</v>
      </c>
      <c r="H703" s="212" t="s">
        <v>2800</v>
      </c>
      <c r="I703" s="212" t="s">
        <v>2829</v>
      </c>
      <c r="J703" s="212" t="s">
        <v>2830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2831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2832</v>
      </c>
      <c r="E704" s="219" t="s">
        <v>2833</v>
      </c>
      <c r="F704" s="220" t="s">
        <v>62</v>
      </c>
      <c r="G704" s="217" t="s">
        <v>72</v>
      </c>
      <c r="H704" s="221" t="s">
        <v>2834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2764</v>
      </c>
      <c r="D705" s="209" t="s">
        <v>2739</v>
      </c>
      <c r="E705" s="210" t="s">
        <v>2835</v>
      </c>
      <c r="F705" s="211" t="s">
        <v>81</v>
      </c>
      <c r="G705" s="260" t="s">
        <v>2727</v>
      </c>
      <c r="H705" s="277" t="s">
        <v>2836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2988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2764</v>
      </c>
      <c r="D706" s="209" t="s">
        <v>2739</v>
      </c>
      <c r="E706" s="210" t="s">
        <v>2835</v>
      </c>
      <c r="F706" s="220" t="s">
        <v>81</v>
      </c>
      <c r="G706" s="269" t="s">
        <v>2727</v>
      </c>
      <c r="H706" s="278" t="s">
        <v>2837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279" t="s">
        <v>2987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2764</v>
      </c>
      <c r="D707" s="209" t="s">
        <v>2739</v>
      </c>
      <c r="E707" s="210" t="s">
        <v>2835</v>
      </c>
      <c r="F707" s="211" t="s">
        <v>81</v>
      </c>
      <c r="G707" s="260" t="s">
        <v>2727</v>
      </c>
      <c r="H707" s="277" t="s">
        <v>2838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279" t="s">
        <v>2987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2764</v>
      </c>
      <c r="D708" s="209" t="s">
        <v>2739</v>
      </c>
      <c r="E708" s="210" t="s">
        <v>2835</v>
      </c>
      <c r="F708" s="220" t="s">
        <v>81</v>
      </c>
      <c r="G708" s="269" t="s">
        <v>2727</v>
      </c>
      <c r="H708" s="278" t="s">
        <v>2839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279" t="s">
        <v>2987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2764</v>
      </c>
      <c r="D709" s="209" t="s">
        <v>2840</v>
      </c>
      <c r="E709" s="210" t="s">
        <v>2841</v>
      </c>
      <c r="F709" s="211" t="s">
        <v>23</v>
      </c>
      <c r="G709" s="208" t="s">
        <v>2711</v>
      </c>
      <c r="H709" s="212" t="s">
        <v>2800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2764</v>
      </c>
      <c r="D710" s="218" t="s">
        <v>2842</v>
      </c>
      <c r="E710" s="210" t="s">
        <v>2843</v>
      </c>
      <c r="F710" s="220" t="s">
        <v>62</v>
      </c>
      <c r="G710" s="217" t="s">
        <v>72</v>
      </c>
      <c r="H710" s="221" t="s">
        <v>2815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2844</v>
      </c>
    </row>
    <row r="711" spans="1:20" ht="23.25" customHeight="1" x14ac:dyDescent="0.25">
      <c r="A711" s="208" t="str">
        <f>IF(B711="","",B711&amp;"-"&amp;TEXT(COUNTIF(B$2:B711,B711),"000"))</f>
        <v>2026-055</v>
      </c>
      <c r="B711" s="209">
        <v>2026</v>
      </c>
      <c r="C711" s="218" t="s">
        <v>2764</v>
      </c>
      <c r="D711" s="209" t="s">
        <v>2739</v>
      </c>
      <c r="E711" s="210" t="s">
        <v>2835</v>
      </c>
      <c r="F711" s="211" t="s">
        <v>81</v>
      </c>
      <c r="G711" s="260" t="s">
        <v>2727</v>
      </c>
      <c r="H711" s="212" t="s">
        <v>2845</v>
      </c>
      <c r="I711" s="213">
        <v>46303</v>
      </c>
      <c r="J711" s="213">
        <v>46303</v>
      </c>
      <c r="K711" s="209" t="s">
        <v>35</v>
      </c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>
        <v>4</v>
      </c>
      <c r="T711" s="279" t="s">
        <v>2987</v>
      </c>
    </row>
    <row r="712" spans="1:20" ht="23.25" customHeight="1" x14ac:dyDescent="0.25">
      <c r="A712" s="217" t="str">
        <f>IF(B712="","",B712&amp;"-"&amp;TEXT(COUNTIF(B$2:B712,B712),"000"))</f>
        <v>2026-056</v>
      </c>
      <c r="B712" s="218">
        <v>2026</v>
      </c>
      <c r="C712" s="218" t="s">
        <v>2764</v>
      </c>
      <c r="D712" s="218" t="s">
        <v>2739</v>
      </c>
      <c r="E712" s="210" t="s">
        <v>2835</v>
      </c>
      <c r="F712" s="220" t="s">
        <v>81</v>
      </c>
      <c r="G712" s="269" t="s">
        <v>2727</v>
      </c>
      <c r="H712" s="221" t="s">
        <v>2846</v>
      </c>
      <c r="I712" s="222">
        <v>46304</v>
      </c>
      <c r="J712" s="222">
        <v>46274</v>
      </c>
      <c r="K712" s="218" t="s">
        <v>35</v>
      </c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>
        <v>4</v>
      </c>
      <c r="T712" s="279" t="s">
        <v>2987</v>
      </c>
    </row>
    <row r="713" spans="1:20" ht="23.25" customHeight="1" x14ac:dyDescent="0.25">
      <c r="A713" s="208" t="str">
        <f>IF(B713="","",B713&amp;"-"&amp;TEXT(COUNTIF(B$2:B713,B713),"000"))</f>
        <v>2026-057</v>
      </c>
      <c r="B713" s="209">
        <v>2026</v>
      </c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>
        <f t="shared" si="14"/>
        <v>0</v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9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  <dataValidation type="list" errorStyle="warning" allowBlank="1" showInputMessage="1" showErrorMessage="1" errorTitle="Instrutor não cadastrado" error="Selecione um nome da lista. Se precisar de um instrutor novo, cadastre-o antes na aba 'Cad. Instrutores'." promptTitle="Instrutor" prompt="Escolha o instrutor na lista. Para vários instrutores, selecione um de cada vez (a macro adiciona separando por ';')." sqref="T2:T684" xr:uid="{6907B0AF-B871-4A27-B50E-6FC50A8FEF75}">
      <formula1>ListaInstrutores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DC64-1F0F-42B0-9A3E-C24C3C78DB8C}">
  <dimension ref="A1:F88"/>
  <sheetViews>
    <sheetView workbookViewId="0"/>
  </sheetViews>
  <sheetFormatPr defaultRowHeight="15" x14ac:dyDescent="0.25"/>
  <cols>
    <col min="1" max="1" width="7.5703125" customWidth="1"/>
    <col min="2" max="2" width="49.5703125" customWidth="1"/>
    <col min="3" max="3" width="22.85546875" customWidth="1"/>
    <col min="4" max="4" width="10.42578125" customWidth="1"/>
    <col min="6" max="6" width="99" customWidth="1"/>
  </cols>
  <sheetData>
    <row r="1" spans="1:6" ht="18.75" x14ac:dyDescent="0.3">
      <c r="A1" s="295" t="s">
        <v>2991</v>
      </c>
      <c r="F1" s="296" t="s">
        <v>3021</v>
      </c>
    </row>
    <row r="2" spans="1:6" x14ac:dyDescent="0.25">
      <c r="F2" s="297" t="s">
        <v>3022</v>
      </c>
    </row>
    <row r="3" spans="1:6" x14ac:dyDescent="0.25">
      <c r="A3" t="s">
        <v>0</v>
      </c>
      <c r="B3" t="s">
        <v>19</v>
      </c>
      <c r="C3" t="s">
        <v>2992</v>
      </c>
      <c r="D3" t="s">
        <v>2993</v>
      </c>
      <c r="F3" s="297" t="s">
        <v>3023</v>
      </c>
    </row>
    <row r="4" spans="1:6" x14ac:dyDescent="0.25">
      <c r="A4">
        <v>1</v>
      </c>
      <c r="B4" t="s">
        <v>2994</v>
      </c>
      <c r="D4" t="s">
        <v>3020</v>
      </c>
      <c r="F4" s="297" t="s">
        <v>3024</v>
      </c>
    </row>
    <row r="5" spans="1:6" x14ac:dyDescent="0.25">
      <c r="A5">
        <v>2</v>
      </c>
      <c r="B5" t="s">
        <v>2500</v>
      </c>
      <c r="D5" t="s">
        <v>3020</v>
      </c>
      <c r="F5" s="297" t="s">
        <v>3025</v>
      </c>
    </row>
    <row r="6" spans="1:6" x14ac:dyDescent="0.25">
      <c r="A6">
        <v>3</v>
      </c>
      <c r="B6" t="s">
        <v>1023</v>
      </c>
      <c r="D6" t="s">
        <v>3020</v>
      </c>
    </row>
    <row r="7" spans="1:6" x14ac:dyDescent="0.25">
      <c r="A7">
        <v>4</v>
      </c>
      <c r="B7" t="s">
        <v>2995</v>
      </c>
      <c r="D7" t="s">
        <v>3020</v>
      </c>
      <c r="F7" s="296" t="s">
        <v>3026</v>
      </c>
    </row>
    <row r="8" spans="1:6" x14ac:dyDescent="0.25">
      <c r="A8">
        <v>5</v>
      </c>
      <c r="B8" t="s">
        <v>2996</v>
      </c>
      <c r="D8" t="s">
        <v>3020</v>
      </c>
      <c r="F8" s="297" t="s">
        <v>3027</v>
      </c>
    </row>
    <row r="9" spans="1:6" x14ac:dyDescent="0.25">
      <c r="A9">
        <v>6</v>
      </c>
      <c r="B9" t="s">
        <v>2310</v>
      </c>
      <c r="D9" t="s">
        <v>3020</v>
      </c>
      <c r="F9" s="297" t="s">
        <v>3028</v>
      </c>
    </row>
    <row r="10" spans="1:6" x14ac:dyDescent="0.25">
      <c r="A10">
        <v>7</v>
      </c>
      <c r="B10" t="s">
        <v>2409</v>
      </c>
      <c r="D10" t="s">
        <v>3020</v>
      </c>
      <c r="F10" s="297" t="s">
        <v>3029</v>
      </c>
    </row>
    <row r="11" spans="1:6" x14ac:dyDescent="0.25">
      <c r="A11">
        <v>8</v>
      </c>
      <c r="B11" t="s">
        <v>2471</v>
      </c>
      <c r="D11" t="s">
        <v>3020</v>
      </c>
    </row>
    <row r="12" spans="1:6" x14ac:dyDescent="0.25">
      <c r="A12">
        <v>9</v>
      </c>
      <c r="B12" t="s">
        <v>2997</v>
      </c>
      <c r="D12" t="s">
        <v>3020</v>
      </c>
    </row>
    <row r="13" spans="1:6" x14ac:dyDescent="0.25">
      <c r="A13">
        <v>10</v>
      </c>
      <c r="B13" t="s">
        <v>2713</v>
      </c>
      <c r="D13" t="s">
        <v>3020</v>
      </c>
    </row>
    <row r="14" spans="1:6" x14ac:dyDescent="0.25">
      <c r="A14">
        <v>11</v>
      </c>
      <c r="B14" t="s">
        <v>2274</v>
      </c>
      <c r="D14" t="s">
        <v>3020</v>
      </c>
    </row>
    <row r="15" spans="1:6" x14ac:dyDescent="0.25">
      <c r="A15">
        <v>12</v>
      </c>
      <c r="B15" t="s">
        <v>2370</v>
      </c>
      <c r="D15" t="s">
        <v>3020</v>
      </c>
    </row>
    <row r="16" spans="1:6" x14ac:dyDescent="0.25">
      <c r="A16">
        <v>13</v>
      </c>
      <c r="B16" t="s">
        <v>2687</v>
      </c>
      <c r="D16" t="s">
        <v>3020</v>
      </c>
    </row>
    <row r="17" spans="1:4" x14ac:dyDescent="0.25">
      <c r="A17">
        <v>14</v>
      </c>
      <c r="B17" t="s">
        <v>1902</v>
      </c>
      <c r="D17" t="s">
        <v>3020</v>
      </c>
    </row>
    <row r="18" spans="1:4" x14ac:dyDescent="0.25">
      <c r="A18">
        <v>15</v>
      </c>
      <c r="B18" t="s">
        <v>571</v>
      </c>
      <c r="D18" t="s">
        <v>3020</v>
      </c>
    </row>
    <row r="19" spans="1:4" x14ac:dyDescent="0.25">
      <c r="A19">
        <v>16</v>
      </c>
      <c r="B19" t="s">
        <v>1951</v>
      </c>
      <c r="D19" t="s">
        <v>3020</v>
      </c>
    </row>
    <row r="20" spans="1:4" x14ac:dyDescent="0.25">
      <c r="A20">
        <v>17</v>
      </c>
      <c r="B20" t="s">
        <v>1785</v>
      </c>
      <c r="D20" t="s">
        <v>3020</v>
      </c>
    </row>
    <row r="21" spans="1:4" x14ac:dyDescent="0.25">
      <c r="A21">
        <v>18</v>
      </c>
      <c r="B21" t="s">
        <v>2115</v>
      </c>
      <c r="D21" t="s">
        <v>3020</v>
      </c>
    </row>
    <row r="22" spans="1:4" x14ac:dyDescent="0.25">
      <c r="A22">
        <v>19</v>
      </c>
      <c r="B22" t="s">
        <v>1343</v>
      </c>
      <c r="D22" t="s">
        <v>3020</v>
      </c>
    </row>
    <row r="23" spans="1:4" x14ac:dyDescent="0.25">
      <c r="A23">
        <v>20</v>
      </c>
      <c r="B23" t="s">
        <v>2255</v>
      </c>
      <c r="D23" t="s">
        <v>3020</v>
      </c>
    </row>
    <row r="24" spans="1:4" x14ac:dyDescent="0.25">
      <c r="A24">
        <v>21</v>
      </c>
      <c r="B24" t="s">
        <v>2998</v>
      </c>
      <c r="D24" t="s">
        <v>3020</v>
      </c>
    </row>
    <row r="25" spans="1:4" x14ac:dyDescent="0.25">
      <c r="A25">
        <v>22</v>
      </c>
      <c r="B25" t="s">
        <v>584</v>
      </c>
      <c r="D25" t="s">
        <v>3020</v>
      </c>
    </row>
    <row r="26" spans="1:4" x14ac:dyDescent="0.25">
      <c r="A26">
        <v>23</v>
      </c>
      <c r="B26" t="s">
        <v>2879</v>
      </c>
      <c r="D26" t="s">
        <v>3020</v>
      </c>
    </row>
    <row r="27" spans="1:4" x14ac:dyDescent="0.25">
      <c r="A27">
        <v>24</v>
      </c>
      <c r="B27" t="s">
        <v>2999</v>
      </c>
      <c r="D27" t="s">
        <v>3020</v>
      </c>
    </row>
    <row r="28" spans="1:4" x14ac:dyDescent="0.25">
      <c r="A28">
        <v>25</v>
      </c>
      <c r="B28" t="s">
        <v>472</v>
      </c>
      <c r="D28" t="s">
        <v>3020</v>
      </c>
    </row>
    <row r="29" spans="1:4" x14ac:dyDescent="0.25">
      <c r="A29">
        <v>26</v>
      </c>
      <c r="B29" t="s">
        <v>69</v>
      </c>
      <c r="D29" t="s">
        <v>3020</v>
      </c>
    </row>
    <row r="30" spans="1:4" x14ac:dyDescent="0.25">
      <c r="A30">
        <v>27</v>
      </c>
      <c r="B30" t="s">
        <v>3000</v>
      </c>
      <c r="D30" t="s">
        <v>3020</v>
      </c>
    </row>
    <row r="31" spans="1:4" x14ac:dyDescent="0.25">
      <c r="A31">
        <v>28</v>
      </c>
      <c r="B31" t="s">
        <v>2102</v>
      </c>
      <c r="D31" t="s">
        <v>3020</v>
      </c>
    </row>
    <row r="32" spans="1:4" x14ac:dyDescent="0.25">
      <c r="A32">
        <v>29</v>
      </c>
      <c r="B32" t="s">
        <v>2250</v>
      </c>
      <c r="D32" t="s">
        <v>3020</v>
      </c>
    </row>
    <row r="33" spans="1:4" x14ac:dyDescent="0.25">
      <c r="A33">
        <v>30</v>
      </c>
      <c r="B33" t="s">
        <v>2505</v>
      </c>
      <c r="D33" t="s">
        <v>3020</v>
      </c>
    </row>
    <row r="34" spans="1:4" x14ac:dyDescent="0.25">
      <c r="A34">
        <v>31</v>
      </c>
      <c r="B34" t="s">
        <v>3001</v>
      </c>
      <c r="D34" t="s">
        <v>3020</v>
      </c>
    </row>
    <row r="35" spans="1:4" x14ac:dyDescent="0.25">
      <c r="A35">
        <v>32</v>
      </c>
      <c r="B35" t="s">
        <v>3002</v>
      </c>
      <c r="D35" t="s">
        <v>3020</v>
      </c>
    </row>
    <row r="36" spans="1:4" x14ac:dyDescent="0.25">
      <c r="A36">
        <v>33</v>
      </c>
      <c r="B36" t="s">
        <v>1367</v>
      </c>
      <c r="D36" t="s">
        <v>3020</v>
      </c>
    </row>
    <row r="37" spans="1:4" x14ac:dyDescent="0.25">
      <c r="A37">
        <v>34</v>
      </c>
      <c r="B37" t="s">
        <v>1472</v>
      </c>
      <c r="D37" t="s">
        <v>3020</v>
      </c>
    </row>
    <row r="38" spans="1:4" x14ac:dyDescent="0.25">
      <c r="A38">
        <v>35</v>
      </c>
      <c r="B38" t="s">
        <v>549</v>
      </c>
      <c r="D38" t="s">
        <v>3020</v>
      </c>
    </row>
    <row r="39" spans="1:4" x14ac:dyDescent="0.25">
      <c r="A39">
        <v>36</v>
      </c>
      <c r="B39" t="s">
        <v>3003</v>
      </c>
      <c r="D39" t="s">
        <v>3020</v>
      </c>
    </row>
    <row r="40" spans="1:4" x14ac:dyDescent="0.25">
      <c r="A40">
        <v>37</v>
      </c>
      <c r="B40" t="s">
        <v>2147</v>
      </c>
      <c r="D40" t="s">
        <v>3020</v>
      </c>
    </row>
    <row r="41" spans="1:4" x14ac:dyDescent="0.25">
      <c r="A41">
        <v>38</v>
      </c>
      <c r="B41" t="s">
        <v>2875</v>
      </c>
      <c r="D41" t="s">
        <v>3020</v>
      </c>
    </row>
    <row r="42" spans="1:4" x14ac:dyDescent="0.25">
      <c r="A42">
        <v>39</v>
      </c>
      <c r="B42" t="s">
        <v>2572</v>
      </c>
      <c r="D42" t="s">
        <v>3020</v>
      </c>
    </row>
    <row r="43" spans="1:4" x14ac:dyDescent="0.25">
      <c r="A43">
        <v>40</v>
      </c>
      <c r="B43" t="s">
        <v>3004</v>
      </c>
      <c r="D43" t="s">
        <v>3020</v>
      </c>
    </row>
    <row r="44" spans="1:4" x14ac:dyDescent="0.25">
      <c r="A44">
        <v>41</v>
      </c>
      <c r="B44" t="s">
        <v>855</v>
      </c>
      <c r="D44" t="s">
        <v>3020</v>
      </c>
    </row>
    <row r="45" spans="1:4" x14ac:dyDescent="0.25">
      <c r="A45">
        <v>42</v>
      </c>
      <c r="B45" t="s">
        <v>710</v>
      </c>
      <c r="D45" t="s">
        <v>3020</v>
      </c>
    </row>
    <row r="46" spans="1:4" x14ac:dyDescent="0.25">
      <c r="A46">
        <v>43</v>
      </c>
      <c r="B46" t="s">
        <v>3005</v>
      </c>
      <c r="D46" t="s">
        <v>3020</v>
      </c>
    </row>
    <row r="47" spans="1:4" x14ac:dyDescent="0.25">
      <c r="A47">
        <v>44</v>
      </c>
      <c r="B47" t="s">
        <v>2154</v>
      </c>
      <c r="D47" t="s">
        <v>3020</v>
      </c>
    </row>
    <row r="48" spans="1:4" x14ac:dyDescent="0.25">
      <c r="A48">
        <v>45</v>
      </c>
      <c r="B48" t="s">
        <v>211</v>
      </c>
      <c r="D48" t="s">
        <v>3020</v>
      </c>
    </row>
    <row r="49" spans="1:4" x14ac:dyDescent="0.25">
      <c r="A49">
        <v>46</v>
      </c>
      <c r="B49" t="s">
        <v>966</v>
      </c>
      <c r="D49" t="s">
        <v>3020</v>
      </c>
    </row>
    <row r="50" spans="1:4" x14ac:dyDescent="0.25">
      <c r="A50">
        <v>47</v>
      </c>
      <c r="B50" t="s">
        <v>1400</v>
      </c>
      <c r="D50" t="s">
        <v>3020</v>
      </c>
    </row>
    <row r="51" spans="1:4" x14ac:dyDescent="0.25">
      <c r="A51">
        <v>48</v>
      </c>
      <c r="B51" t="s">
        <v>3006</v>
      </c>
      <c r="D51" t="s">
        <v>3020</v>
      </c>
    </row>
    <row r="52" spans="1:4" x14ac:dyDescent="0.25">
      <c r="A52">
        <v>49</v>
      </c>
      <c r="B52" t="s">
        <v>2770</v>
      </c>
      <c r="D52" t="s">
        <v>3020</v>
      </c>
    </row>
    <row r="53" spans="1:4" x14ac:dyDescent="0.25">
      <c r="A53">
        <v>50</v>
      </c>
      <c r="B53" t="s">
        <v>3007</v>
      </c>
      <c r="D53" t="s">
        <v>3020</v>
      </c>
    </row>
    <row r="54" spans="1:4" x14ac:dyDescent="0.25">
      <c r="A54">
        <v>51</v>
      </c>
      <c r="B54" t="s">
        <v>1055</v>
      </c>
      <c r="D54" t="s">
        <v>3020</v>
      </c>
    </row>
    <row r="55" spans="1:4" x14ac:dyDescent="0.25">
      <c r="A55">
        <v>52</v>
      </c>
      <c r="B55" t="s">
        <v>1752</v>
      </c>
      <c r="D55" t="s">
        <v>3020</v>
      </c>
    </row>
    <row r="56" spans="1:4" x14ac:dyDescent="0.25">
      <c r="A56">
        <v>53</v>
      </c>
      <c r="B56" t="s">
        <v>2885</v>
      </c>
      <c r="D56" t="s">
        <v>3020</v>
      </c>
    </row>
    <row r="57" spans="1:4" x14ac:dyDescent="0.25">
      <c r="A57">
        <v>54</v>
      </c>
      <c r="B57" t="s">
        <v>74</v>
      </c>
      <c r="D57" t="s">
        <v>3020</v>
      </c>
    </row>
    <row r="58" spans="1:4" x14ac:dyDescent="0.25">
      <c r="A58">
        <v>55</v>
      </c>
      <c r="B58" t="s">
        <v>1096</v>
      </c>
      <c r="D58" t="s">
        <v>3020</v>
      </c>
    </row>
    <row r="59" spans="1:4" x14ac:dyDescent="0.25">
      <c r="A59">
        <v>56</v>
      </c>
      <c r="B59" t="s">
        <v>2048</v>
      </c>
      <c r="D59" t="s">
        <v>3020</v>
      </c>
    </row>
    <row r="60" spans="1:4" x14ac:dyDescent="0.25">
      <c r="A60">
        <v>57</v>
      </c>
      <c r="B60" t="s">
        <v>3008</v>
      </c>
      <c r="D60" t="s">
        <v>3020</v>
      </c>
    </row>
    <row r="61" spans="1:4" x14ac:dyDescent="0.25">
      <c r="A61">
        <v>58</v>
      </c>
      <c r="B61" t="s">
        <v>1873</v>
      </c>
      <c r="D61" t="s">
        <v>3020</v>
      </c>
    </row>
    <row r="62" spans="1:4" x14ac:dyDescent="0.25">
      <c r="A62">
        <v>59</v>
      </c>
      <c r="B62" t="s">
        <v>2082</v>
      </c>
      <c r="D62" t="s">
        <v>3020</v>
      </c>
    </row>
    <row r="63" spans="1:4" x14ac:dyDescent="0.25">
      <c r="A63">
        <v>60</v>
      </c>
      <c r="B63" t="s">
        <v>2014</v>
      </c>
      <c r="D63" t="s">
        <v>3020</v>
      </c>
    </row>
    <row r="64" spans="1:4" x14ac:dyDescent="0.25">
      <c r="A64">
        <v>61</v>
      </c>
      <c r="B64" t="s">
        <v>3009</v>
      </c>
      <c r="D64" t="s">
        <v>3020</v>
      </c>
    </row>
    <row r="65" spans="1:4" x14ac:dyDescent="0.25">
      <c r="A65">
        <v>62</v>
      </c>
      <c r="B65" t="s">
        <v>3010</v>
      </c>
      <c r="D65" t="s">
        <v>3020</v>
      </c>
    </row>
    <row r="66" spans="1:4" x14ac:dyDescent="0.25">
      <c r="A66">
        <v>63</v>
      </c>
      <c r="B66" t="s">
        <v>3011</v>
      </c>
      <c r="D66" t="s">
        <v>3020</v>
      </c>
    </row>
    <row r="67" spans="1:4" x14ac:dyDescent="0.25">
      <c r="A67">
        <v>64</v>
      </c>
      <c r="B67" t="s">
        <v>3012</v>
      </c>
      <c r="D67" t="s">
        <v>3020</v>
      </c>
    </row>
    <row r="68" spans="1:4" x14ac:dyDescent="0.25">
      <c r="A68">
        <v>65</v>
      </c>
      <c r="B68" t="s">
        <v>2697</v>
      </c>
      <c r="D68" t="s">
        <v>3020</v>
      </c>
    </row>
    <row r="69" spans="1:4" x14ac:dyDescent="0.25">
      <c r="A69">
        <v>66</v>
      </c>
      <c r="B69" t="s">
        <v>2549</v>
      </c>
      <c r="D69" t="s">
        <v>3020</v>
      </c>
    </row>
    <row r="70" spans="1:4" x14ac:dyDescent="0.25">
      <c r="A70">
        <v>67</v>
      </c>
      <c r="B70" t="s">
        <v>3013</v>
      </c>
      <c r="D70" t="s">
        <v>3020</v>
      </c>
    </row>
    <row r="71" spans="1:4" x14ac:dyDescent="0.25">
      <c r="A71">
        <v>68</v>
      </c>
      <c r="B71" t="s">
        <v>3014</v>
      </c>
      <c r="D71" t="s">
        <v>3020</v>
      </c>
    </row>
    <row r="72" spans="1:4" x14ac:dyDescent="0.25">
      <c r="A72">
        <v>69</v>
      </c>
      <c r="B72" t="s">
        <v>2450</v>
      </c>
      <c r="D72" t="s">
        <v>3020</v>
      </c>
    </row>
    <row r="73" spans="1:4" x14ac:dyDescent="0.25">
      <c r="A73">
        <v>70</v>
      </c>
      <c r="B73" t="s">
        <v>2890</v>
      </c>
      <c r="D73" t="s">
        <v>3020</v>
      </c>
    </row>
    <row r="74" spans="1:4" x14ac:dyDescent="0.25">
      <c r="A74">
        <v>71</v>
      </c>
      <c r="B74" t="s">
        <v>2659</v>
      </c>
      <c r="D74" t="s">
        <v>3020</v>
      </c>
    </row>
    <row r="75" spans="1:4" x14ac:dyDescent="0.25">
      <c r="A75">
        <v>72</v>
      </c>
      <c r="B75" t="s">
        <v>2315</v>
      </c>
      <c r="D75" t="s">
        <v>3020</v>
      </c>
    </row>
    <row r="76" spans="1:4" x14ac:dyDescent="0.25">
      <c r="A76">
        <v>73</v>
      </c>
      <c r="B76" t="s">
        <v>2294</v>
      </c>
      <c r="D76" t="s">
        <v>3020</v>
      </c>
    </row>
    <row r="77" spans="1:4" x14ac:dyDescent="0.25">
      <c r="A77">
        <v>74</v>
      </c>
      <c r="B77" t="s">
        <v>2892</v>
      </c>
      <c r="D77" t="s">
        <v>3020</v>
      </c>
    </row>
    <row r="78" spans="1:4" x14ac:dyDescent="0.25">
      <c r="A78">
        <v>75</v>
      </c>
      <c r="B78" t="s">
        <v>108</v>
      </c>
      <c r="D78" t="s">
        <v>3020</v>
      </c>
    </row>
    <row r="79" spans="1:4" x14ac:dyDescent="0.25">
      <c r="A79">
        <v>76</v>
      </c>
      <c r="B79" t="s">
        <v>935</v>
      </c>
      <c r="D79" t="s">
        <v>3020</v>
      </c>
    </row>
    <row r="80" spans="1:4" x14ac:dyDescent="0.25">
      <c r="A80">
        <v>77</v>
      </c>
      <c r="B80" t="s">
        <v>796</v>
      </c>
      <c r="D80" t="s">
        <v>3020</v>
      </c>
    </row>
    <row r="81" spans="1:4" x14ac:dyDescent="0.25">
      <c r="A81">
        <v>78</v>
      </c>
      <c r="B81" t="s">
        <v>418</v>
      </c>
      <c r="D81" t="s">
        <v>3020</v>
      </c>
    </row>
    <row r="82" spans="1:4" x14ac:dyDescent="0.25">
      <c r="A82">
        <v>79</v>
      </c>
      <c r="B82" t="s">
        <v>3015</v>
      </c>
      <c r="D82" t="s">
        <v>3020</v>
      </c>
    </row>
    <row r="83" spans="1:4" x14ac:dyDescent="0.25">
      <c r="A83">
        <v>80</v>
      </c>
      <c r="B83" t="s">
        <v>3016</v>
      </c>
      <c r="D83" t="s">
        <v>3020</v>
      </c>
    </row>
    <row r="84" spans="1:4" x14ac:dyDescent="0.25">
      <c r="A84">
        <v>81</v>
      </c>
      <c r="B84" t="s">
        <v>3017</v>
      </c>
      <c r="D84" t="s">
        <v>3020</v>
      </c>
    </row>
    <row r="85" spans="1:4" x14ac:dyDescent="0.25">
      <c r="A85">
        <v>82</v>
      </c>
      <c r="B85" t="s">
        <v>3018</v>
      </c>
      <c r="D85" t="s">
        <v>3020</v>
      </c>
    </row>
    <row r="86" spans="1:4" x14ac:dyDescent="0.25">
      <c r="A86">
        <v>83</v>
      </c>
      <c r="B86" t="s">
        <v>2475</v>
      </c>
      <c r="D86" t="s">
        <v>3020</v>
      </c>
    </row>
    <row r="87" spans="1:4" x14ac:dyDescent="0.25">
      <c r="A87">
        <v>84</v>
      </c>
      <c r="B87" t="s">
        <v>3019</v>
      </c>
      <c r="D87" t="s">
        <v>3020</v>
      </c>
    </row>
    <row r="88" spans="1:4" x14ac:dyDescent="0.25">
      <c r="A88">
        <v>85</v>
      </c>
      <c r="B88" t="s">
        <v>2567</v>
      </c>
      <c r="D88" t="s">
        <v>3020</v>
      </c>
    </row>
  </sheetData>
  <dataValidations count="2">
    <dataValidation type="custom" allowBlank="1" showInputMessage="1" showErrorMessage="1" errorTitle="Instrutor duplicado" error="Este instrutor já está cadastrado. Cada instrutor deve existir uma única vez." promptTitle="Novo instrutor" prompt="Digite o nome uma única vez, na grafia oficial. Ele passará a aparecer na lista suspensa dos cursos." sqref="B4:B5000" xr:uid="{925DC1AF-F4AC-41EC-B8FF-405E79928C52}">
      <formula1>COUNTIF($B$4:$B$5000,B4)&lt;=1</formula1>
    </dataValidation>
    <dataValidation type="list" allowBlank="1" showInputMessage="1" showErrorMessage="1" sqref="C4:C5000" xr:uid="{1125A772-CC71-4937-85ED-FDD9389F9526}">
      <formula1>"Interno,Externo,Empresa/Fornecedor"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2" activePane="bottomLeft" state="frozen"/>
      <selection pane="bottomLeft" activeCell="Y4" sqref="Y4"/>
    </sheetView>
  </sheetViews>
  <sheetFormatPr defaultRowHeight="15" outlineLevelCol="1" x14ac:dyDescent="0.25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 x14ac:dyDescent="0.25">
      <c r="A1" s="96" t="s">
        <v>1</v>
      </c>
      <c r="B1" s="96" t="s">
        <v>2847</v>
      </c>
      <c r="C1" s="96" t="s">
        <v>2848</v>
      </c>
      <c r="D1" s="96" t="s">
        <v>4</v>
      </c>
      <c r="E1" s="96" t="s">
        <v>2849</v>
      </c>
      <c r="F1" s="96" t="s">
        <v>19</v>
      </c>
      <c r="G1" s="96" t="s">
        <v>2850</v>
      </c>
      <c r="H1" s="96" t="s">
        <v>2851</v>
      </c>
      <c r="I1" s="96" t="s">
        <v>2852</v>
      </c>
      <c r="J1" s="96" t="s">
        <v>2853</v>
      </c>
      <c r="L1" s="129" t="s">
        <v>2854</v>
      </c>
      <c r="M1" s="100">
        <v>2026</v>
      </c>
      <c r="U1" s="162" t="s">
        <v>2855</v>
      </c>
      <c r="V1" s="161"/>
      <c r="X1" s="159" t="s">
        <v>2856</v>
      </c>
      <c r="Y1" s="107"/>
      <c r="Z1" s="107"/>
      <c r="AA1" s="107"/>
      <c r="AC1" s="253" t="s">
        <v>2857</v>
      </c>
    </row>
    <row r="2" spans="1:31" x14ac:dyDescent="0.25">
      <c r="A2" s="98" cm="1">
        <f t="array" ref="A2:J11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2847</v>
      </c>
      <c r="Y2" s="160" t="s">
        <v>19</v>
      </c>
      <c r="Z2" s="160" t="s">
        <v>2858</v>
      </c>
      <c r="AA2" s="160" t="s">
        <v>2859</v>
      </c>
      <c r="AC2" s="254" t="s">
        <v>1</v>
      </c>
      <c r="AD2" s="254" t="s">
        <v>2860</v>
      </c>
      <c r="AE2" s="254" t="s">
        <v>2861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2862</v>
      </c>
      <c r="M3" s="19" t="s">
        <v>2863</v>
      </c>
      <c r="N3" s="19" t="s">
        <v>2864</v>
      </c>
      <c r="O3" s="19" t="s">
        <v>2865</v>
      </c>
      <c r="P3" s="19" t="s">
        <v>2866</v>
      </c>
      <c r="Q3" s="19" t="s">
        <v>2867</v>
      </c>
      <c r="R3" s="19" t="s">
        <v>2868</v>
      </c>
      <c r="S3" s="19" t="s">
        <v>2869</v>
      </c>
      <c r="T3" s="19" t="s">
        <v>2870</v>
      </c>
      <c r="X3" t="s">
        <v>2871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8">_xlfn.VSTACK(0,_xlfn._xlws.FILTER(S4:S200,S4:S200&lt;&gt;""))</f>
        <v>0</v>
      </c>
      <c r="X4" t="s">
        <v>2872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 de Oliveira</v>
      </c>
      <c r="R5">
        <v>5</v>
      </c>
      <c r="S5">
        <v>6</v>
      </c>
      <c r="T5">
        <v>1</v>
      </c>
      <c r="X5" t="s">
        <v>2873</v>
      </c>
      <c r="Y5" t="s">
        <v>2713</v>
      </c>
      <c r="Z5">
        <v>1</v>
      </c>
      <c r="AA5">
        <v>0.6</v>
      </c>
      <c r="AC5" s="248">
        <v>2026</v>
      </c>
      <c r="AD5" s="95" t="s">
        <v>2874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2873</v>
      </c>
      <c r="Y6" t="s">
        <v>2875</v>
      </c>
      <c r="Z6">
        <v>1</v>
      </c>
      <c r="AA6">
        <v>0</v>
      </c>
      <c r="AC6" s="248">
        <v>2026</v>
      </c>
      <c r="AD6" s="95" t="s">
        <v>2876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 de Oliveira</v>
      </c>
      <c r="G7" s="97">
        <v>5</v>
      </c>
      <c r="H7" s="99">
        <v>4</v>
      </c>
      <c r="I7" s="99">
        <v>0.24</v>
      </c>
      <c r="J7" s="99">
        <v>4.24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2878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2878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2878</v>
      </c>
      <c r="Y11" s="95" t="s">
        <v>2879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2878</v>
      </c>
      <c r="Y12" s="95" t="s">
        <v>2880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2881</v>
      </c>
      <c r="Y16" s="95" t="s">
        <v>2879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 de Oliveira</v>
      </c>
      <c r="R17">
        <v>5</v>
      </c>
      <c r="S17">
        <v>28</v>
      </c>
      <c r="T17">
        <v>23</v>
      </c>
      <c r="X17" t="s">
        <v>2881</v>
      </c>
      <c r="Y17" s="95" t="s">
        <v>2880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 de Oliveira</v>
      </c>
      <c r="R18">
        <v>5</v>
      </c>
      <c r="S18">
        <v>33</v>
      </c>
      <c r="T18">
        <v>28</v>
      </c>
      <c r="X18" t="s">
        <v>2882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2882</v>
      </c>
      <c r="Y21" s="95" t="s">
        <v>2879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12</v>
      </c>
      <c r="Q22" t="str">
        <v>Paulo José Góes Daltro</v>
      </c>
      <c r="R22">
        <v>1</v>
      </c>
      <c r="S22">
        <v>39</v>
      </c>
      <c r="T22">
        <v>38</v>
      </c>
      <c r="X22" t="s">
        <v>2882</v>
      </c>
      <c r="Y22" s="95" t="s">
        <v>2880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2883</v>
      </c>
      <c r="Y24" s="95" t="s">
        <v>2875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2884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2884</v>
      </c>
      <c r="Y26" s="95" t="s">
        <v>2885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2886</v>
      </c>
      <c r="Y28" s="95" t="s">
        <v>2875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 de Oliveira</v>
      </c>
      <c r="G29" s="97">
        <v>5</v>
      </c>
      <c r="H29" s="99">
        <v>4</v>
      </c>
      <c r="I29" s="99">
        <v>0.24</v>
      </c>
      <c r="J29" s="99">
        <v>4.24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2887</v>
      </c>
      <c r="Y30" s="95" t="s">
        <v>2875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2889</v>
      </c>
      <c r="Y33" t="s">
        <v>2890</v>
      </c>
      <c r="Z33">
        <v>4</v>
      </c>
      <c r="AA33">
        <v>0.6</v>
      </c>
      <c r="AC33" s="250"/>
      <c r="AD33" s="251" t="s">
        <v>2891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 de Oliveira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2889</v>
      </c>
      <c r="Y34" t="s">
        <v>2892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2889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2889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2893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2893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2894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12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2895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Adriana Cuoco Portugal; Cinthia Thais de Carvalho Luz Thomazi; Fernanda Viana de Souza;  Luiz Felipe Tenório de Lima Gondim; Priscila Nolasco de Oliveira</v>
      </c>
      <c r="R41">
        <v>5</v>
      </c>
      <c r="S41">
        <v>86</v>
      </c>
      <c r="T41">
        <v>81</v>
      </c>
      <c r="X41" t="s">
        <v>2896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Adriana Cuoco Portugal; Cinthia Thais de Carvalho Luz Thomazi; Fernanda Viana de Souza; Luiz Felipe Tenório de Lima Gondim; Priscila Nolasco de Oliveira</v>
      </c>
      <c r="R42">
        <v>5</v>
      </c>
      <c r="S42">
        <v>91</v>
      </c>
      <c r="T42">
        <v>86</v>
      </c>
      <c r="X42" t="s">
        <v>2896</v>
      </c>
      <c r="Y42" t="s">
        <v>2844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Adriana Cuoco Portugal; Cinthia Thais de Carvalho Luz Thomazi; Fernanda Viana de Souza; Luiz Felipe Tenório de Lima Gondim; Priscila Nolasco de Oliveira</v>
      </c>
      <c r="R43">
        <v>5</v>
      </c>
      <c r="S43">
        <v>96</v>
      </c>
      <c r="T43">
        <v>91</v>
      </c>
      <c r="X43" t="s">
        <v>2897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Adriana Cuoco Portugal; Cinthia Thais de Carvalho Luz Thomazi; Fernanda Viana de Souza; Luiz Felipe Tenório de Lima Gondim; Priscila Nolasco de Oliveira</v>
      </c>
      <c r="R44">
        <v>5</v>
      </c>
      <c r="S44">
        <v>101</v>
      </c>
      <c r="T44">
        <v>96</v>
      </c>
      <c r="X44" t="s">
        <v>2897</v>
      </c>
      <c r="Y44" s="95" t="s">
        <v>2875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102</v>
      </c>
      <c r="T45">
        <v>101</v>
      </c>
      <c r="X45" t="s">
        <v>2898</v>
      </c>
      <c r="Y45" t="s">
        <v>2899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L46">
        <v>2026</v>
      </c>
      <c r="M46" t="str">
        <v>2026-055</v>
      </c>
      <c r="N46" t="str">
        <v>A realizar</v>
      </c>
      <c r="O46" t="str">
        <v>TCendo o Futuro</v>
      </c>
      <c r="P46">
        <v>4</v>
      </c>
      <c r="Q46" t="str">
        <v>Adriana Cuoco Portugal; Cinthia Thais de Carvalho Luz Thomazi; Fernanda Viana de Souza; Luiz Felipe Tenório de Lima Gondim; Priscila Nolasco de Oliveira</v>
      </c>
      <c r="R46">
        <v>5</v>
      </c>
      <c r="S46">
        <v>107</v>
      </c>
      <c r="T46">
        <v>102</v>
      </c>
      <c r="X46" t="s">
        <v>2898</v>
      </c>
      <c r="Y46" t="s">
        <v>2900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L47">
        <v>2026</v>
      </c>
      <c r="M47" t="str">
        <v>2026-056</v>
      </c>
      <c r="N47" t="str">
        <v>A realizar</v>
      </c>
      <c r="O47" t="str">
        <v>TCendo o Futuro</v>
      </c>
      <c r="P47">
        <v>4</v>
      </c>
      <c r="Q47" t="str">
        <v>Adriana Cuoco Portugal; Cinthia Thais de Carvalho Luz Thomazi; Fernanda Viana de Souza; Luiz Felipe Tenório de Lima Gondim; Priscila Nolasco de Oliveira</v>
      </c>
      <c r="R47">
        <v>5</v>
      </c>
      <c r="S47">
        <v>112</v>
      </c>
      <c r="T47">
        <v>107</v>
      </c>
      <c r="X47" t="s">
        <v>2898</v>
      </c>
      <c r="Y47" t="s">
        <v>2901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T48">
        <v>112</v>
      </c>
      <c r="X48" t="s">
        <v>2898</v>
      </c>
      <c r="Y48" t="s">
        <v>2902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2898</v>
      </c>
      <c r="Y49" t="s">
        <v>2903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2898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2898</v>
      </c>
      <c r="Y51" t="s">
        <v>2904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2898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2898</v>
      </c>
      <c r="Y53" t="s">
        <v>2905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2898</v>
      </c>
      <c r="Y54" t="s">
        <v>2906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Adriana Cuoco Portugal</v>
      </c>
      <c r="G83">
        <v>5</v>
      </c>
      <c r="H83">
        <v>4</v>
      </c>
      <c r="I83">
        <v>0.24</v>
      </c>
      <c r="J83">
        <v>4.24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Cinthia Thais de Carvalho Luz Thomazi</v>
      </c>
      <c r="G84">
        <v>5</v>
      </c>
      <c r="H84">
        <v>4</v>
      </c>
      <c r="I84">
        <v>0.24</v>
      </c>
      <c r="J84">
        <v>4.24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5</v>
      </c>
      <c r="H85">
        <v>4</v>
      </c>
      <c r="I85">
        <v>0.24</v>
      </c>
      <c r="J85">
        <v>4.24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Luiz Felipe Tenório de Lima Gondim</v>
      </c>
      <c r="G86">
        <v>5</v>
      </c>
      <c r="H86">
        <v>4</v>
      </c>
      <c r="I86">
        <v>0.24</v>
      </c>
      <c r="J86">
        <v>4.24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 de Oliveira</v>
      </c>
      <c r="G87">
        <v>5</v>
      </c>
      <c r="H87">
        <v>4</v>
      </c>
      <c r="I87">
        <v>0.24</v>
      </c>
      <c r="J87">
        <v>4.24</v>
      </c>
      <c r="R87" t="str">
        <v/>
      </c>
      <c r="S87" t="str">
        <v/>
      </c>
    </row>
    <row r="88" spans="1:19" x14ac:dyDescent="0.25">
      <c r="A88">
        <v>2026</v>
      </c>
      <c r="B88" t="str">
        <v>2026-050</v>
      </c>
      <c r="C88" t="str">
        <v>A realizar</v>
      </c>
      <c r="D88" t="str">
        <v>TCendo o Futuro</v>
      </c>
      <c r="E88">
        <v>4</v>
      </c>
      <c r="F88" t="str">
        <v>Adriana Cuoco Portugal</v>
      </c>
      <c r="G88">
        <v>5</v>
      </c>
      <c r="H88">
        <v>4</v>
      </c>
      <c r="I88">
        <v>0.24</v>
      </c>
      <c r="J88">
        <v>4.24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Cinthia Thais de Carvalho Luz Thomazi</v>
      </c>
      <c r="G89">
        <v>5</v>
      </c>
      <c r="H89">
        <v>4</v>
      </c>
      <c r="I89">
        <v>0.24</v>
      </c>
      <c r="J89">
        <v>4.24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Fernanda Viana de Souza</v>
      </c>
      <c r="G90">
        <v>5</v>
      </c>
      <c r="H90">
        <v>4</v>
      </c>
      <c r="I90">
        <v>0.24</v>
      </c>
      <c r="J90">
        <v>4.24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Luiz Felipe Tenório de Lima Gondim</v>
      </c>
      <c r="G91">
        <v>5</v>
      </c>
      <c r="H91">
        <v>4</v>
      </c>
      <c r="I91">
        <v>0.24</v>
      </c>
      <c r="J91">
        <v>4.24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Priscila Nolasco de Oliveira</v>
      </c>
      <c r="G92">
        <v>5</v>
      </c>
      <c r="H92">
        <v>4</v>
      </c>
      <c r="I92">
        <v>0.24</v>
      </c>
      <c r="J92">
        <v>4.24</v>
      </c>
      <c r="R92" t="str">
        <v/>
      </c>
      <c r="S92" t="str">
        <v/>
      </c>
    </row>
    <row r="93" spans="1:19" x14ac:dyDescent="0.25">
      <c r="A93">
        <v>2026</v>
      </c>
      <c r="B93" t="str">
        <v>2026-051</v>
      </c>
      <c r="C93" t="str">
        <v>A realizar</v>
      </c>
      <c r="D93" t="str">
        <v>TCendo o Futuro</v>
      </c>
      <c r="E93">
        <v>4</v>
      </c>
      <c r="F93" t="str">
        <v>Adriana Cuoco Portugal</v>
      </c>
      <c r="G93">
        <v>5</v>
      </c>
      <c r="H93">
        <v>4</v>
      </c>
      <c r="I93">
        <v>0.24</v>
      </c>
      <c r="J93">
        <v>4.24</v>
      </c>
      <c r="R93" t="str">
        <v/>
      </c>
      <c r="S93" t="str">
        <v/>
      </c>
    </row>
    <row r="94" spans="1:19" x14ac:dyDescent="0.25">
      <c r="A94">
        <v>2026</v>
      </c>
      <c r="B94" t="str">
        <v>2026-051</v>
      </c>
      <c r="C94" t="str">
        <v>A realizar</v>
      </c>
      <c r="D94" t="str">
        <v>TCendo o Futuro</v>
      </c>
      <c r="E94">
        <v>4</v>
      </c>
      <c r="F94" t="str">
        <v>Cinthia Thais de Carvalho Luz Thomazi</v>
      </c>
      <c r="G94">
        <v>5</v>
      </c>
      <c r="H94">
        <v>4</v>
      </c>
      <c r="I94">
        <v>0.24</v>
      </c>
      <c r="J94">
        <v>4.24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Fernanda Viana de Souza</v>
      </c>
      <c r="G95">
        <v>5</v>
      </c>
      <c r="H95">
        <v>4</v>
      </c>
      <c r="I95">
        <v>0.24</v>
      </c>
      <c r="J95">
        <v>4.24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Luiz Felipe Tenório de Lima Gondim</v>
      </c>
      <c r="G96">
        <v>5</v>
      </c>
      <c r="H96">
        <v>4</v>
      </c>
      <c r="I96">
        <v>0.24</v>
      </c>
      <c r="J96">
        <v>4.24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Priscila Nolasco de Oliveira</v>
      </c>
      <c r="G97">
        <v>5</v>
      </c>
      <c r="H97">
        <v>4</v>
      </c>
      <c r="I97">
        <v>0.24</v>
      </c>
      <c r="J97">
        <v>4.24</v>
      </c>
      <c r="R97" t="str">
        <v/>
      </c>
      <c r="S97" t="str">
        <v/>
      </c>
    </row>
    <row r="98" spans="1:19" x14ac:dyDescent="0.25">
      <c r="A98">
        <v>2026</v>
      </c>
      <c r="B98" t="str">
        <v>2026-052</v>
      </c>
      <c r="C98" t="str">
        <v>A realizar</v>
      </c>
      <c r="D98" t="str">
        <v>TCendo o Futuro</v>
      </c>
      <c r="E98">
        <v>4</v>
      </c>
      <c r="F98" t="str">
        <v>Adriana Cuoco Portugal</v>
      </c>
      <c r="G98">
        <v>5</v>
      </c>
      <c r="H98">
        <v>4</v>
      </c>
      <c r="I98">
        <v>0.24</v>
      </c>
      <c r="J98">
        <v>4.24</v>
      </c>
      <c r="R98" t="str">
        <v/>
      </c>
      <c r="S98" t="str">
        <v/>
      </c>
    </row>
    <row r="99" spans="1:19" x14ac:dyDescent="0.25">
      <c r="A99">
        <v>2026</v>
      </c>
      <c r="B99" t="str">
        <v>2026-052</v>
      </c>
      <c r="C99" t="str">
        <v>A realizar</v>
      </c>
      <c r="D99" t="str">
        <v>TCendo o Futuro</v>
      </c>
      <c r="E99">
        <v>4</v>
      </c>
      <c r="F99" t="str">
        <v>Cinthia Thais de Carvalho Luz Thomazi</v>
      </c>
      <c r="G99">
        <v>5</v>
      </c>
      <c r="H99">
        <v>4</v>
      </c>
      <c r="I99">
        <v>0.24</v>
      </c>
      <c r="J99">
        <v>4.24</v>
      </c>
      <c r="R99" t="str">
        <v/>
      </c>
      <c r="S99" t="str">
        <v/>
      </c>
    </row>
    <row r="100" spans="1:19" x14ac:dyDescent="0.25">
      <c r="A100">
        <v>2026</v>
      </c>
      <c r="B100" t="str">
        <v>2026-052</v>
      </c>
      <c r="C100" t="str">
        <v>A realizar</v>
      </c>
      <c r="D100" t="str">
        <v>TCendo o Futuro</v>
      </c>
      <c r="E100">
        <v>4</v>
      </c>
      <c r="F100" t="str">
        <v>Fernanda Viana de Souza</v>
      </c>
      <c r="G100">
        <v>5</v>
      </c>
      <c r="H100">
        <v>4</v>
      </c>
      <c r="I100">
        <v>0.24</v>
      </c>
      <c r="J100">
        <v>4.24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Luiz Felipe Tenório de Lima Gondim</v>
      </c>
      <c r="G101">
        <v>5</v>
      </c>
      <c r="H101">
        <v>4</v>
      </c>
      <c r="I101">
        <v>0.24</v>
      </c>
      <c r="J101">
        <v>4.24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Priscila Nolasco de Oliveira</v>
      </c>
      <c r="G102">
        <v>5</v>
      </c>
      <c r="H102">
        <v>4</v>
      </c>
      <c r="I102">
        <v>0.24</v>
      </c>
      <c r="J102">
        <v>4.24</v>
      </c>
      <c r="R102" t="str">
        <v/>
      </c>
      <c r="S102" t="str">
        <v/>
      </c>
    </row>
    <row r="103" spans="1:19" x14ac:dyDescent="0.25">
      <c r="A103">
        <v>2026</v>
      </c>
      <c r="B103" t="str">
        <v>2026-054</v>
      </c>
      <c r="C103" t="str">
        <v>A realizar</v>
      </c>
      <c r="D103" t="str">
        <v>Oficina Temática – SEMAT: Falhas recorrentes em contratações de TI</v>
      </c>
      <c r="E103">
        <v>8</v>
      </c>
      <c r="F103" t="str">
        <v>Felipe da Costa Malaquias</v>
      </c>
      <c r="G103">
        <v>1</v>
      </c>
      <c r="H103">
        <v>8</v>
      </c>
      <c r="I103">
        <v>2.4</v>
      </c>
      <c r="J103">
        <v>10.4</v>
      </c>
      <c r="R103" t="str">
        <v/>
      </c>
      <c r="S103" t="str">
        <v/>
      </c>
    </row>
    <row r="104" spans="1:19" x14ac:dyDescent="0.25">
      <c r="A104">
        <v>2026</v>
      </c>
      <c r="B104" t="str">
        <v>2026-055</v>
      </c>
      <c r="C104" t="str">
        <v>A realizar</v>
      </c>
      <c r="D104" t="str">
        <v>TCendo o Futuro</v>
      </c>
      <c r="E104">
        <v>4</v>
      </c>
      <c r="F104" t="str">
        <v>Adriana Cuoco Portugal</v>
      </c>
      <c r="G104">
        <v>5</v>
      </c>
      <c r="H104">
        <v>4</v>
      </c>
      <c r="I104">
        <v>0.24</v>
      </c>
      <c r="J104">
        <v>4.24</v>
      </c>
      <c r="R104" t="str">
        <v/>
      </c>
      <c r="S104" t="str">
        <v/>
      </c>
    </row>
    <row r="105" spans="1:19" x14ac:dyDescent="0.25">
      <c r="A105">
        <v>2026</v>
      </c>
      <c r="B105" t="str">
        <v>2026-055</v>
      </c>
      <c r="C105" t="str">
        <v>A realizar</v>
      </c>
      <c r="D105" t="str">
        <v>TCendo o Futuro</v>
      </c>
      <c r="E105">
        <v>4</v>
      </c>
      <c r="F105" t="str">
        <v>Cinthia Thais de Carvalho Luz Thomazi</v>
      </c>
      <c r="G105">
        <v>5</v>
      </c>
      <c r="H105">
        <v>4</v>
      </c>
      <c r="I105">
        <v>0.24</v>
      </c>
      <c r="J105">
        <v>4.24</v>
      </c>
      <c r="R105" t="str">
        <v/>
      </c>
      <c r="S105" t="str">
        <v/>
      </c>
    </row>
    <row r="106" spans="1:19" x14ac:dyDescent="0.25">
      <c r="A106">
        <v>2026</v>
      </c>
      <c r="B106" t="str">
        <v>2026-055</v>
      </c>
      <c r="C106" t="str">
        <v>A realizar</v>
      </c>
      <c r="D106" t="str">
        <v>TCendo o Futuro</v>
      </c>
      <c r="E106">
        <v>4</v>
      </c>
      <c r="F106" t="str">
        <v>Fernanda Viana de Souza</v>
      </c>
      <c r="G106">
        <v>5</v>
      </c>
      <c r="H106">
        <v>4</v>
      </c>
      <c r="I106">
        <v>0.24</v>
      </c>
      <c r="J106">
        <v>4.24</v>
      </c>
      <c r="R106" t="str">
        <v/>
      </c>
      <c r="S106" t="str">
        <v/>
      </c>
    </row>
    <row r="107" spans="1:19" x14ac:dyDescent="0.25">
      <c r="A107">
        <v>2026</v>
      </c>
      <c r="B107" t="str">
        <v>2026-055</v>
      </c>
      <c r="C107" t="str">
        <v>A realizar</v>
      </c>
      <c r="D107" t="str">
        <v>TCendo o Futuro</v>
      </c>
      <c r="E107">
        <v>4</v>
      </c>
      <c r="F107" t="str">
        <v>Luiz Felipe Tenório de Lima Gondim</v>
      </c>
      <c r="G107">
        <v>5</v>
      </c>
      <c r="H107">
        <v>4</v>
      </c>
      <c r="I107">
        <v>0.24</v>
      </c>
      <c r="J107">
        <v>4.24</v>
      </c>
      <c r="R107" t="str">
        <v/>
      </c>
      <c r="S107" t="str">
        <v/>
      </c>
    </row>
    <row r="108" spans="1:19" x14ac:dyDescent="0.25">
      <c r="A108">
        <v>2026</v>
      </c>
      <c r="B108" t="str">
        <v>2026-055</v>
      </c>
      <c r="C108" t="str">
        <v>A realizar</v>
      </c>
      <c r="D108" t="str">
        <v>TCendo o Futuro</v>
      </c>
      <c r="E108">
        <v>4</v>
      </c>
      <c r="F108" t="str">
        <v>Priscila Nolasco de Oliveira</v>
      </c>
      <c r="G108">
        <v>5</v>
      </c>
      <c r="H108">
        <v>4</v>
      </c>
      <c r="I108">
        <v>0.24</v>
      </c>
      <c r="J108">
        <v>4.24</v>
      </c>
      <c r="R108" t="str">
        <v/>
      </c>
      <c r="S108" t="str">
        <v/>
      </c>
    </row>
    <row r="109" spans="1:19" x14ac:dyDescent="0.25">
      <c r="A109">
        <v>2026</v>
      </c>
      <c r="B109" t="str">
        <v>2026-056</v>
      </c>
      <c r="C109" t="str">
        <v>A realizar</v>
      </c>
      <c r="D109" t="str">
        <v>TCendo o Futuro</v>
      </c>
      <c r="E109">
        <v>4</v>
      </c>
      <c r="F109" t="str">
        <v>Adriana Cuoco Portugal</v>
      </c>
      <c r="G109">
        <v>5</v>
      </c>
      <c r="H109">
        <v>4</v>
      </c>
      <c r="I109">
        <v>0.24</v>
      </c>
      <c r="J109">
        <v>4.24</v>
      </c>
      <c r="R109" t="str">
        <v/>
      </c>
      <c r="S109" t="str">
        <v/>
      </c>
    </row>
    <row r="110" spans="1:19" x14ac:dyDescent="0.25">
      <c r="A110">
        <v>2026</v>
      </c>
      <c r="B110" t="str">
        <v>2026-056</v>
      </c>
      <c r="C110" t="str">
        <v>A realizar</v>
      </c>
      <c r="D110" t="str">
        <v>TCendo o Futuro</v>
      </c>
      <c r="E110">
        <v>4</v>
      </c>
      <c r="F110" t="str">
        <v>Cinthia Thais de Carvalho Luz Thomazi</v>
      </c>
      <c r="G110">
        <v>5</v>
      </c>
      <c r="H110">
        <v>4</v>
      </c>
      <c r="I110">
        <v>0.24</v>
      </c>
      <c r="J110">
        <v>4.24</v>
      </c>
      <c r="R110" t="str">
        <v/>
      </c>
      <c r="S110" t="str">
        <v/>
      </c>
    </row>
    <row r="111" spans="1:19" x14ac:dyDescent="0.25">
      <c r="A111">
        <v>2026</v>
      </c>
      <c r="B111" t="str">
        <v>2026-056</v>
      </c>
      <c r="C111" t="str">
        <v>A realizar</v>
      </c>
      <c r="D111" t="str">
        <v>TCendo o Futuro</v>
      </c>
      <c r="E111">
        <v>4</v>
      </c>
      <c r="F111" t="str">
        <v>Fernanda Viana de Souza</v>
      </c>
      <c r="G111">
        <v>5</v>
      </c>
      <c r="H111">
        <v>4</v>
      </c>
      <c r="I111">
        <v>0.24</v>
      </c>
      <c r="J111">
        <v>4.24</v>
      </c>
      <c r="R111" t="str">
        <v/>
      </c>
      <c r="S111" t="str">
        <v/>
      </c>
    </row>
    <row r="112" spans="1:19" x14ac:dyDescent="0.25">
      <c r="A112">
        <v>2026</v>
      </c>
      <c r="B112" t="str">
        <v>2026-056</v>
      </c>
      <c r="C112" t="str">
        <v>A realizar</v>
      </c>
      <c r="D112" t="str">
        <v>TCendo o Futuro</v>
      </c>
      <c r="E112">
        <v>4</v>
      </c>
      <c r="F112" t="str">
        <v>Luiz Felipe Tenório de Lima Gondim</v>
      </c>
      <c r="G112">
        <v>5</v>
      </c>
      <c r="H112">
        <v>4</v>
      </c>
      <c r="I112">
        <v>0.24</v>
      </c>
      <c r="J112">
        <v>4.24</v>
      </c>
      <c r="R112" t="str">
        <v/>
      </c>
      <c r="S112" t="str">
        <v/>
      </c>
    </row>
    <row r="113" spans="1:19" x14ac:dyDescent="0.25">
      <c r="A113">
        <v>2026</v>
      </c>
      <c r="B113" t="str">
        <v>2026-056</v>
      </c>
      <c r="C113" t="str">
        <v>A realizar</v>
      </c>
      <c r="D113" t="str">
        <v>TCendo o Futuro</v>
      </c>
      <c r="E113">
        <v>4</v>
      </c>
      <c r="F113" t="str">
        <v>Priscila Nolasco de Oliveira</v>
      </c>
      <c r="G113">
        <v>5</v>
      </c>
      <c r="H113">
        <v>4</v>
      </c>
      <c r="I113">
        <v>0.24</v>
      </c>
      <c r="J113">
        <v>4.24</v>
      </c>
      <c r="R113" t="str">
        <v/>
      </c>
      <c r="S113" t="str">
        <v/>
      </c>
    </row>
    <row r="114" spans="1:19" x14ac:dyDescent="0.25">
      <c r="R114" t="str">
        <v/>
      </c>
      <c r="S114" t="str">
        <v/>
      </c>
    </row>
    <row r="115" spans="1:19" x14ac:dyDescent="0.25">
      <c r="R115" t="str">
        <v/>
      </c>
      <c r="S115" t="str">
        <v/>
      </c>
    </row>
    <row r="116" spans="1:19" x14ac:dyDescent="0.25">
      <c r="R116" t="str">
        <v/>
      </c>
      <c r="S116" t="str">
        <v/>
      </c>
    </row>
    <row r="117" spans="1:19" x14ac:dyDescent="0.25">
      <c r="R117" t="str">
        <v/>
      </c>
      <c r="S117" t="str">
        <v/>
      </c>
    </row>
    <row r="118" spans="1:19" x14ac:dyDescent="0.25">
      <c r="R118" t="str">
        <v/>
      </c>
      <c r="S118" t="str">
        <v/>
      </c>
    </row>
    <row r="119" spans="1:19" x14ac:dyDescent="0.25">
      <c r="R119" t="str">
        <v/>
      </c>
      <c r="S119" t="str">
        <v/>
      </c>
    </row>
    <row r="120" spans="1:19" x14ac:dyDescent="0.25">
      <c r="R120" t="str">
        <v/>
      </c>
      <c r="S120" t="str">
        <v/>
      </c>
    </row>
    <row r="121" spans="1:19" x14ac:dyDescent="0.25">
      <c r="R121" t="str">
        <v/>
      </c>
      <c r="S121" t="str">
        <v/>
      </c>
    </row>
    <row r="122" spans="1:19" x14ac:dyDescent="0.25">
      <c r="R122" t="str">
        <v/>
      </c>
      <c r="S122" t="str">
        <v/>
      </c>
    </row>
    <row r="123" spans="1:19" x14ac:dyDescent="0.25">
      <c r="R123" t="str">
        <v/>
      </c>
      <c r="S123" t="str">
        <v/>
      </c>
    </row>
    <row r="124" spans="1:19" x14ac:dyDescent="0.25">
      <c r="R124" t="str">
        <v/>
      </c>
      <c r="S124" t="str">
        <v/>
      </c>
    </row>
    <row r="125" spans="1:19" x14ac:dyDescent="0.25">
      <c r="R125" t="str">
        <v/>
      </c>
      <c r="S125" t="str">
        <v/>
      </c>
    </row>
    <row r="126" spans="1:19" x14ac:dyDescent="0.25">
      <c r="R126" t="str">
        <v/>
      </c>
      <c r="S126" t="str">
        <v/>
      </c>
    </row>
    <row r="127" spans="1:19" x14ac:dyDescent="0.25">
      <c r="R127" t="str">
        <v/>
      </c>
      <c r="S127" t="str">
        <v/>
      </c>
    </row>
    <row r="128" spans="1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2" t="s">
        <v>2907</v>
      </c>
      <c r="B1" s="282"/>
      <c r="C1" s="282"/>
      <c r="D1" s="282"/>
      <c r="E1" s="282"/>
      <c r="F1" s="282"/>
      <c r="G1" s="282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3" t="s">
        <v>2908</v>
      </c>
      <c r="B4" s="284"/>
      <c r="D4" s="285" t="s">
        <v>2909</v>
      </c>
      <c r="E4" s="286"/>
      <c r="G4" s="125" t="s">
        <v>2910</v>
      </c>
    </row>
    <row r="5" spans="1:7" ht="54.95" customHeight="1" thickBot="1" x14ac:dyDescent="0.75">
      <c r="A5" s="115">
        <f>COUNTIF('Ações InCompany'!B:B,2026)</f>
        <v>57</v>
      </c>
      <c r="B5" s="116" t="s">
        <v>2911</v>
      </c>
      <c r="D5" s="123">
        <f>COUNTIFS('Ações InCompany'!B:B,2026,'Ações InCompany'!C:C,"Realizado")</f>
        <v>32</v>
      </c>
      <c r="E5" s="124" t="s">
        <v>2911</v>
      </c>
      <c r="G5" s="126">
        <f>COUNTIFS('Ações InCompany'!B:B,2026,'Ações InCompany'!C:C,"A realizar")</f>
        <v>19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80" t="s">
        <v>2912</v>
      </c>
      <c r="B8" s="280"/>
      <c r="D8" s="280" t="s">
        <v>2913</v>
      </c>
      <c r="E8" s="280"/>
    </row>
    <row r="9" spans="1:7" ht="5.0999999999999996" customHeight="1" x14ac:dyDescent="0.25">
      <c r="A9" s="281"/>
      <c r="B9" s="281"/>
      <c r="D9" s="281"/>
      <c r="E9" s="281"/>
    </row>
    <row r="10" spans="1:7" ht="24.95" customHeight="1" x14ac:dyDescent="0.25">
      <c r="A10" s="108" t="s">
        <v>5</v>
      </c>
      <c r="B10" s="108" t="s">
        <v>2914</v>
      </c>
      <c r="D10" s="108" t="s">
        <v>2915</v>
      </c>
      <c r="E10" s="108" t="s">
        <v>2916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2917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2918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2919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2920</v>
      </c>
      <c r="B14" s="114">
        <f>SUM(B11:B13)</f>
        <v>32</v>
      </c>
      <c r="D14" s="113" t="s">
        <v>2921</v>
      </c>
      <c r="E14" s="114">
        <f>SUM(E11:E13)</f>
        <v>1474</v>
      </c>
    </row>
    <row r="30" spans="1:5" ht="17.25" x14ac:dyDescent="0.3">
      <c r="A30" s="280" t="s">
        <v>2922</v>
      </c>
      <c r="B30" s="280"/>
      <c r="C30" s="280"/>
      <c r="D30" s="280"/>
      <c r="E30" s="280"/>
    </row>
    <row r="31" spans="1:5" ht="5.0999999999999996" customHeight="1" x14ac:dyDescent="0.25">
      <c r="A31" s="281"/>
      <c r="B31" s="281"/>
      <c r="C31" s="281"/>
      <c r="D31" s="281"/>
      <c r="E31" s="281"/>
    </row>
    <row r="32" spans="1:5" ht="24.95" customHeight="1" x14ac:dyDescent="0.25">
      <c r="A32" s="108" t="s">
        <v>6</v>
      </c>
      <c r="B32" s="108" t="s">
        <v>2923</v>
      </c>
      <c r="C32" s="108" t="s">
        <v>2924</v>
      </c>
      <c r="D32" s="108" t="s">
        <v>2925</v>
      </c>
      <c r="E32" s="108" t="s">
        <v>2926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0.21568627450980393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5.8823529411764705E-2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0.11764705882352941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3.9215686274509803E-2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3.9215686274509803E-2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7</v>
      </c>
      <c r="D38" s="119">
        <f t="shared" si="0"/>
        <v>12</v>
      </c>
      <c r="E38" s="120">
        <f t="shared" si="1"/>
        <v>0.23529411764705882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7.8431372549019607E-2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3.9215686274509803E-2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0.13725490196078433</v>
      </c>
    </row>
    <row r="42" spans="1:5" ht="24" customHeight="1" x14ac:dyDescent="0.25">
      <c r="A42" s="156" t="s">
        <v>2927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3.9215686274509803E-2</v>
      </c>
    </row>
    <row r="44" spans="1:5" ht="24" customHeight="1" x14ac:dyDescent="0.25">
      <c r="A44" s="148" t="s">
        <v>2928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2920</v>
      </c>
      <c r="B45" s="121">
        <f>SUM(B33:B44)</f>
        <v>32</v>
      </c>
      <c r="C45" s="121">
        <f>SUM(C33:C44)</f>
        <v>19</v>
      </c>
      <c r="D45" s="121">
        <f>SUM(D33:D44)</f>
        <v>51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2934</v>
      </c>
      <c r="B2" s="12" t="s">
        <v>2935</v>
      </c>
      <c r="C2" s="12" t="s">
        <v>1729</v>
      </c>
      <c r="D2" s="12" t="s">
        <v>2936</v>
      </c>
      <c r="E2" s="12" t="s">
        <v>2937</v>
      </c>
    </row>
    <row r="3" spans="1:5" ht="18" customHeight="1" x14ac:dyDescent="0.25">
      <c r="A3" s="12" t="s">
        <v>2934</v>
      </c>
      <c r="B3" s="12" t="s">
        <v>2935</v>
      </c>
      <c r="C3" s="14" t="s">
        <v>24</v>
      </c>
      <c r="D3" s="12" t="s">
        <v>2938</v>
      </c>
      <c r="E3" s="12" t="s">
        <v>2939</v>
      </c>
    </row>
    <row r="4" spans="1:5" ht="18" customHeight="1" x14ac:dyDescent="0.25">
      <c r="A4" s="12" t="s">
        <v>2934</v>
      </c>
      <c r="B4" s="12" t="s">
        <v>2935</v>
      </c>
      <c r="C4" s="12" t="s">
        <v>68</v>
      </c>
      <c r="D4" s="12" t="s">
        <v>2936</v>
      </c>
      <c r="E4" s="12" t="s">
        <v>2940</v>
      </c>
    </row>
    <row r="5" spans="1:5" ht="18" customHeight="1" x14ac:dyDescent="0.25">
      <c r="A5" s="12" t="s">
        <v>2934</v>
      </c>
      <c r="B5" s="12" t="s">
        <v>2935</v>
      </c>
      <c r="C5" s="12" t="s">
        <v>72</v>
      </c>
      <c r="D5" s="12" t="s">
        <v>2941</v>
      </c>
      <c r="E5" s="12" t="s">
        <v>2942</v>
      </c>
    </row>
    <row r="6" spans="1:5" ht="18" customHeight="1" x14ac:dyDescent="0.25">
      <c r="A6" s="12" t="s">
        <v>2934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2934</v>
      </c>
      <c r="B7" s="12" t="s">
        <v>2945</v>
      </c>
      <c r="C7" s="12" t="s">
        <v>33</v>
      </c>
      <c r="D7" s="12" t="s">
        <v>2946</v>
      </c>
      <c r="E7" s="12" t="s">
        <v>2947</v>
      </c>
    </row>
    <row r="8" spans="1:5" ht="18" customHeight="1" x14ac:dyDescent="0.25">
      <c r="A8" s="12" t="s">
        <v>2934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2934</v>
      </c>
      <c r="B9" s="12" t="s">
        <v>2950</v>
      </c>
      <c r="C9" s="12" t="s">
        <v>457</v>
      </c>
      <c r="D9" s="12" t="s">
        <v>2951</v>
      </c>
      <c r="E9" s="12" t="s">
        <v>2952</v>
      </c>
    </row>
    <row r="10" spans="1:5" ht="18" customHeight="1" x14ac:dyDescent="0.25">
      <c r="A10" s="12" t="s">
        <v>2934</v>
      </c>
      <c r="B10" s="12" t="s">
        <v>2950</v>
      </c>
      <c r="C10" s="12" t="s">
        <v>199</v>
      </c>
      <c r="D10" s="12" t="s">
        <v>23</v>
      </c>
      <c r="E10" s="12" t="s">
        <v>2953</v>
      </c>
    </row>
    <row r="11" spans="1:5" ht="18" customHeight="1" x14ac:dyDescent="0.25">
      <c r="A11" s="12" t="s">
        <v>2934</v>
      </c>
      <c r="B11" s="12" t="s">
        <v>2950</v>
      </c>
      <c r="C11" s="12" t="s">
        <v>364</v>
      </c>
      <c r="D11" s="12" t="s">
        <v>23</v>
      </c>
      <c r="E11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2955</v>
      </c>
      <c r="B1" s="5" t="s">
        <v>10</v>
      </c>
      <c r="C1" s="15" t="s">
        <v>2956</v>
      </c>
      <c r="D1" s="15" t="s">
        <v>2848</v>
      </c>
    </row>
    <row r="2" spans="1:4" ht="21" customHeight="1" x14ac:dyDescent="0.25">
      <c r="A2" s="258" t="s">
        <v>23</v>
      </c>
      <c r="B2" s="258" t="s">
        <v>35</v>
      </c>
      <c r="C2" s="12" t="s">
        <v>2957</v>
      </c>
      <c r="D2" s="12" t="s">
        <v>2764</v>
      </c>
    </row>
    <row r="3" spans="1:4" ht="21" customHeight="1" x14ac:dyDescent="0.25">
      <c r="A3" s="12" t="s">
        <v>62</v>
      </c>
      <c r="B3" s="258" t="s">
        <v>26</v>
      </c>
      <c r="C3" s="12" t="s">
        <v>2958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2742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2959</v>
      </c>
      <c r="B2" s="12" t="s">
        <v>2935</v>
      </c>
      <c r="C2" s="14" t="s">
        <v>24</v>
      </c>
      <c r="D2" s="12" t="s">
        <v>2936</v>
      </c>
      <c r="E2" s="18" t="s">
        <v>2960</v>
      </c>
    </row>
    <row r="3" spans="1:5" ht="18" customHeight="1" x14ac:dyDescent="0.25">
      <c r="A3" s="12" t="s">
        <v>2959</v>
      </c>
      <c r="B3" s="12" t="s">
        <v>2935</v>
      </c>
      <c r="C3" s="12" t="s">
        <v>68</v>
      </c>
      <c r="D3" s="12" t="s">
        <v>2938</v>
      </c>
      <c r="E3" s="12" t="s">
        <v>2961</v>
      </c>
    </row>
    <row r="4" spans="1:5" ht="18" customHeight="1" x14ac:dyDescent="0.25">
      <c r="A4" s="12" t="s">
        <v>2959</v>
      </c>
      <c r="B4" s="12" t="s">
        <v>2935</v>
      </c>
      <c r="C4" s="12" t="s">
        <v>72</v>
      </c>
      <c r="D4" s="12" t="s">
        <v>2941</v>
      </c>
      <c r="E4" s="12" t="s">
        <v>2962</v>
      </c>
    </row>
    <row r="5" spans="1:5" ht="27.75" customHeight="1" x14ac:dyDescent="0.25">
      <c r="A5" s="12" t="s">
        <v>2959</v>
      </c>
      <c r="B5" s="12" t="s">
        <v>2935</v>
      </c>
      <c r="C5" s="12" t="s">
        <v>2690</v>
      </c>
      <c r="D5" s="18" t="s">
        <v>2963</v>
      </c>
      <c r="E5" s="12" t="s">
        <v>2964</v>
      </c>
    </row>
    <row r="6" spans="1:5" ht="18" customHeight="1" x14ac:dyDescent="0.25">
      <c r="A6" s="12" t="s">
        <v>2959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2959</v>
      </c>
      <c r="B7" s="12" t="s">
        <v>2945</v>
      </c>
      <c r="C7" s="12" t="s">
        <v>2711</v>
      </c>
      <c r="D7" s="12" t="s">
        <v>2965</v>
      </c>
      <c r="E7" s="12" t="s">
        <v>2966</v>
      </c>
    </row>
    <row r="8" spans="1:5" ht="18" customHeight="1" x14ac:dyDescent="0.25">
      <c r="A8" s="12" t="s">
        <v>2959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2959</v>
      </c>
      <c r="B9" s="12" t="s">
        <v>2945</v>
      </c>
      <c r="C9" s="12" t="s">
        <v>2695</v>
      </c>
      <c r="D9" s="12" t="s">
        <v>2967</v>
      </c>
      <c r="E9" s="18" t="s">
        <v>2968</v>
      </c>
    </row>
    <row r="10" spans="1:5" ht="18" customHeight="1" x14ac:dyDescent="0.25">
      <c r="A10" s="12" t="s">
        <v>2959</v>
      </c>
      <c r="B10" s="12" t="s">
        <v>2969</v>
      </c>
      <c r="C10" s="12" t="s">
        <v>2927</v>
      </c>
      <c r="D10" s="12" t="s">
        <v>2970</v>
      </c>
      <c r="E10" s="18" t="s">
        <v>2971</v>
      </c>
    </row>
    <row r="11" spans="1:5" ht="18" customHeight="1" x14ac:dyDescent="0.25">
      <c r="A11" s="12" t="s">
        <v>2959</v>
      </c>
      <c r="B11" s="12" t="s">
        <v>2969</v>
      </c>
      <c r="C11" s="12" t="s">
        <v>199</v>
      </c>
      <c r="D11" s="12" t="s">
        <v>23</v>
      </c>
      <c r="E11" s="12" t="s">
        <v>2953</v>
      </c>
    </row>
    <row r="12" spans="1:5" ht="18" customHeight="1" x14ac:dyDescent="0.25">
      <c r="A12" s="12" t="s">
        <v>2959</v>
      </c>
      <c r="B12" s="12" t="s">
        <v>2969</v>
      </c>
      <c r="C12" s="12" t="s">
        <v>364</v>
      </c>
      <c r="D12" s="12" t="s">
        <v>23</v>
      </c>
      <c r="E12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2972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2973</v>
      </c>
    </row>
    <row r="4" spans="1:8" ht="21.95" customHeight="1" x14ac:dyDescent="0.25">
      <c r="A4" s="288" t="s">
        <v>2974</v>
      </c>
      <c r="B4" s="289"/>
      <c r="D4" s="288" t="s">
        <v>2975</v>
      </c>
      <c r="E4" s="289"/>
      <c r="G4" s="288" t="s">
        <v>2976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1762</v>
      </c>
      <c r="E5" s="291"/>
      <c r="G5" s="290">
        <f>IFERROR(ROUND(D5/A5,0),"-")</f>
        <v>136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2977</v>
      </c>
      <c r="B7" s="143" t="s">
        <v>2978</v>
      </c>
      <c r="C7" s="143" t="s">
        <v>1</v>
      </c>
      <c r="D7" s="143" t="s">
        <v>2979</v>
      </c>
      <c r="E7" s="143" t="s">
        <v>2980</v>
      </c>
      <c r="F7" s="143" t="s">
        <v>2848</v>
      </c>
      <c r="G7" s="143" t="s">
        <v>5</v>
      </c>
      <c r="H7" s="143" t="s">
        <v>2981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93" t="s">
        <v>2982</v>
      </c>
      <c r="B1" s="293"/>
      <c r="C1" s="293"/>
      <c r="D1" s="293"/>
      <c r="E1" s="293"/>
      <c r="F1" s="293"/>
    </row>
    <row r="2" spans="1:7" x14ac:dyDescent="0.25">
      <c r="A2" s="294" t="s">
        <v>2983</v>
      </c>
      <c r="B2" s="294"/>
      <c r="C2" s="294"/>
      <c r="D2" s="294"/>
      <c r="E2" s="294"/>
      <c r="F2" s="294"/>
    </row>
    <row r="4" spans="1:7" x14ac:dyDescent="0.25">
      <c r="A4" s="102" t="s">
        <v>19</v>
      </c>
      <c r="B4" s="102" t="s">
        <v>2851</v>
      </c>
      <c r="C4" s="102" t="s">
        <v>2852</v>
      </c>
      <c r="D4" s="102" t="s">
        <v>2984</v>
      </c>
      <c r="E4" s="102" t="s">
        <v>2853</v>
      </c>
      <c r="F4" s="102" t="s">
        <v>2985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40</v>
      </c>
      <c r="C5" s="103">
        <f>IF($A5="","",SUMIFS('GECC 2026'!I$2:I$200,'GECC 2026'!F$2:F$200,$A5))</f>
        <v>5.2800000000000011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45.280000000000008</v>
      </c>
      <c r="F5" s="101">
        <f>IF($A5="","",COUNTIFS('GECC 2026'!F$2:F$200,$A5))</f>
        <v>10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61</v>
      </c>
      <c r="C11" s="103">
        <f>IF($A11="","",SUMIFS('GECC 2026'!I$2:I$200,'GECC 2026'!F$2:F$200,$A11))</f>
        <v>7.9800000000000013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68.98</v>
      </c>
      <c r="F11" s="101">
        <f>IF($A11="","",COUNTIFS('GECC 2026'!F$2:F$200,$A11))</f>
        <v>12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39</v>
      </c>
      <c r="C19" s="103">
        <f>IF($A19="","",SUMIFS('GECC 2026'!I$2:I$200,'GECC 2026'!F$2:F$200,$A19))</f>
        <v>4.5300000000000011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43.530000000000008</v>
      </c>
      <c r="F19" s="101">
        <f>IF($A19="","",COUNTIFS('GECC 2026'!F$2:F$200,$A19))</f>
        <v>10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1.44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25.440000000000005</v>
      </c>
      <c r="F31" s="101">
        <f>IF($A31="","",COUNTIFS('GECC 2026'!F$2:F$200,$A31))</f>
        <v>6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 de Oliveira</v>
      </c>
      <c r="B37" s="103">
        <f>IF($A37="","",SUMIFS('GECC 2026'!H$2:H$200,'GECC 2026'!F$2:F$200,$A37))</f>
        <v>36</v>
      </c>
      <c r="C37" s="103">
        <f>IF($A37="","",SUMIFS('GECC 2026'!I$2:I$200,'GECC 2026'!F$2:F$200,$A37))</f>
        <v>2.16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38.160000000000011</v>
      </c>
      <c r="F37" s="101">
        <f>IF($A37="","",COUNTIFS('GECC 2026'!F$2:F$200,$A37))</f>
        <v>9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2921</v>
      </c>
      <c r="B105" s="242">
        <f>SUM(B5:B100)</f>
        <v>696</v>
      </c>
      <c r="C105" s="242">
        <f>SUM(C5:C100)</f>
        <v>387.78000000000003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112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Ações InCompany</vt:lpstr>
      <vt:lpstr>Cad. Instrutores</vt:lpstr>
      <vt:lpstr>GECC 2026</vt:lpstr>
      <vt:lpstr>Dashboard 2026</vt:lpstr>
      <vt:lpstr>PlanoCap</vt:lpstr>
      <vt:lpstr>Validação Dados</vt:lpstr>
      <vt:lpstr>PlanoCap2627</vt:lpstr>
      <vt:lpstr>Dashboard Maratonas</vt:lpstr>
      <vt:lpstr>Dashboard GECC 2026</vt:lpstr>
      <vt:lpstr>'Ações InCompany'!Area_de_impressao</vt:lpstr>
      <vt:lpstr>ListaInstrutores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2026-07-02T19:21:58Z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