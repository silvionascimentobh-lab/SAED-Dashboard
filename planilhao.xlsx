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73" documentId="13_ncr:1_{C887EC22-7CD1-4717-84BE-7303F42C5C0A}" xr6:coauthVersionLast="47" xr6:coauthVersionMax="47" xr10:uidLastSave="{5198C2DA-3B07-4977-A801-8F36D6853BAA}"/>
  <bookViews>
    <workbookView xWindow="28680" yWindow="-120" windowWidth="29040" windowHeight="15720" firstSheet="1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Maratonas" sheetId="27" r:id="rId7"/>
    <sheet name="Dashboard GECC 2026" sheetId="23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AE33" i="20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D45" i="23" l="1"/>
  <c r="F45" i="23"/>
  <c r="C45" i="23"/>
  <c r="B45" i="23"/>
  <c r="E45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D25" i="23" l="1"/>
  <c r="E21" i="23"/>
  <c r="C9" i="23"/>
  <c r="D8" i="23"/>
  <c r="E30" i="23"/>
  <c r="C41" i="23"/>
  <c r="C27" i="23"/>
  <c r="E29" i="23"/>
  <c r="B27" i="23"/>
  <c r="C16" i="23"/>
  <c r="E24" i="23"/>
  <c r="B7" i="23"/>
  <c r="D7" i="23"/>
  <c r="F31" i="23"/>
  <c r="F21" i="23"/>
  <c r="B6" i="23"/>
  <c r="D34" i="23"/>
  <c r="E33" i="23"/>
  <c r="E15" i="23"/>
  <c r="B9" i="23"/>
  <c r="F36" i="23"/>
  <c r="D21" i="23"/>
  <c r="D19" i="23"/>
  <c r="F29" i="23"/>
  <c r="B24" i="23"/>
  <c r="C10" i="23"/>
  <c r="F23" i="23"/>
  <c r="C44" i="23"/>
  <c r="B28" i="23"/>
  <c r="F30" i="23"/>
  <c r="E25" i="23"/>
  <c r="F19" i="23"/>
  <c r="B10" i="23"/>
  <c r="E43" i="23"/>
  <c r="E32" i="23"/>
  <c r="B43" i="23"/>
  <c r="C26" i="23"/>
  <c r="D20" i="23"/>
  <c r="D28" i="23"/>
  <c r="C23" i="23"/>
  <c r="C36" i="23"/>
  <c r="D40" i="23"/>
  <c r="F6" i="23"/>
  <c r="B15" i="23"/>
  <c r="B8" i="23"/>
  <c r="B41" i="23"/>
  <c r="C25" i="23"/>
  <c r="F33" i="23"/>
  <c r="D37" i="23"/>
  <c r="B11" i="23"/>
  <c r="E23" i="23"/>
  <c r="D33" i="23"/>
  <c r="F10" i="23"/>
  <c r="C40" i="23"/>
  <c r="C7" i="23"/>
  <c r="F38" i="23"/>
  <c r="D29" i="23"/>
  <c r="B32" i="23"/>
  <c r="F12" i="23"/>
  <c r="C28" i="23"/>
  <c r="E9" i="23"/>
  <c r="C39" i="23"/>
  <c r="D22" i="23"/>
  <c r="F15" i="23"/>
  <c r="D11" i="23"/>
  <c r="C14" i="23"/>
  <c r="B25" i="23"/>
  <c r="B39" i="23"/>
  <c r="F8" i="23"/>
  <c r="C6" i="23"/>
  <c r="C17" i="23"/>
  <c r="F11" i="23"/>
  <c r="C15" i="23"/>
  <c r="E41" i="23"/>
  <c r="D31" i="23"/>
  <c r="E22" i="23"/>
  <c r="F27" i="23"/>
  <c r="D13" i="23"/>
  <c r="B19" i="23"/>
  <c r="B44" i="23"/>
  <c r="F20" i="23"/>
  <c r="C24" i="23"/>
  <c r="E44" i="23"/>
  <c r="B26" i="23"/>
  <c r="B20" i="23"/>
  <c r="F39" i="23"/>
  <c r="E13" i="23"/>
  <c r="C38" i="23"/>
  <c r="E12" i="23"/>
  <c r="E28" i="23"/>
  <c r="D44" i="23"/>
  <c r="F28" i="23"/>
  <c r="B40" i="23"/>
  <c r="B42" i="23"/>
  <c r="C32" i="23"/>
  <c r="F9" i="23"/>
  <c r="C42" i="23"/>
  <c r="B37" i="23"/>
  <c r="D39" i="23"/>
  <c r="D24" i="23"/>
  <c r="F35" i="23"/>
  <c r="E38" i="23"/>
  <c r="C35" i="23"/>
  <c r="E37" i="23"/>
  <c r="B35" i="23"/>
  <c r="E36" i="23"/>
  <c r="F22" i="23"/>
  <c r="C30" i="23"/>
  <c r="B16" i="23"/>
  <c r="D17" i="23"/>
  <c r="D18" i="23"/>
  <c r="F17" i="23"/>
  <c r="E14" i="23"/>
  <c r="B30" i="23"/>
  <c r="F26" i="23"/>
  <c r="F24" i="23"/>
  <c r="D30" i="23"/>
  <c r="B34" i="23"/>
  <c r="F7" i="23"/>
  <c r="C18" i="23"/>
  <c r="C22" i="23"/>
  <c r="D38" i="23"/>
  <c r="C12" i="23"/>
  <c r="D14" i="23"/>
  <c r="D36" i="23"/>
  <c r="E34" i="23"/>
  <c r="E40" i="23"/>
  <c r="D16" i="23"/>
  <c r="F37" i="23"/>
  <c r="F43" i="23"/>
  <c r="C20" i="23"/>
  <c r="C33" i="23"/>
  <c r="F42" i="23"/>
  <c r="C43" i="23"/>
  <c r="C21" i="23"/>
  <c r="E27" i="23"/>
  <c r="B14" i="23"/>
  <c r="C8" i="23"/>
  <c r="D12" i="23"/>
  <c r="D42" i="23"/>
  <c r="F34" i="23"/>
  <c r="D35" i="23"/>
  <c r="C29" i="23"/>
  <c r="E35" i="23"/>
  <c r="D23" i="23"/>
  <c r="E20" i="23"/>
  <c r="B12" i="23"/>
  <c r="E6" i="23"/>
  <c r="D26" i="23"/>
  <c r="F40" i="23"/>
  <c r="B17" i="23"/>
  <c r="D27" i="23"/>
  <c r="F16" i="23"/>
  <c r="D15" i="23"/>
  <c r="C19" i="23"/>
  <c r="B38" i="23"/>
  <c r="F14" i="23"/>
  <c r="B22" i="23"/>
  <c r="C37" i="23"/>
  <c r="B36" i="23"/>
  <c r="C11" i="23"/>
  <c r="F13" i="23"/>
  <c r="B13" i="23"/>
  <c r="F44" i="23"/>
  <c r="B23" i="23"/>
  <c r="D32" i="23"/>
  <c r="D10" i="23"/>
  <c r="E7" i="23"/>
  <c r="D41" i="23"/>
  <c r="E8" i="23"/>
  <c r="D6" i="23"/>
  <c r="C34" i="23"/>
  <c r="E39" i="23"/>
  <c r="B33" i="23"/>
  <c r="E26" i="23"/>
  <c r="D9" i="23"/>
  <c r="F25" i="23"/>
  <c r="F18" i="23"/>
  <c r="F32" i="23"/>
  <c r="B31" i="23"/>
  <c r="B18" i="23"/>
  <c r="F41" i="23"/>
  <c r="C31" i="23"/>
  <c r="C13" i="23"/>
  <c r="E18" i="23"/>
  <c r="E10" i="23"/>
  <c r="E17" i="23"/>
  <c r="D43" i="23"/>
  <c r="B21" i="23"/>
  <c r="B29" i="23"/>
  <c r="E42" i="23"/>
  <c r="E11" i="23"/>
  <c r="E19" i="23"/>
  <c r="E16" i="23"/>
  <c r="E31" i="23"/>
  <c r="A5" i="23"/>
  <c r="F5" i="23" l="1"/>
  <c r="F105" i="23" s="1"/>
  <c r="D5" i="23"/>
  <c r="E5" i="23"/>
  <c r="B5" i="23"/>
  <c r="B105" i="23" s="1"/>
  <c r="C5" i="23"/>
  <c r="C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<sst xmlns="http://schemas.openxmlformats.org/spreadsheetml/2006/main" count="6622" uniqueCount="2986">
  <si>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</si>
  <si>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</si>
  <si>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</si>
  <si>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</si>
  <si>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</si>
  <si>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</si>
  <si>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</si>
  <si>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</si>
  <si>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</si>
  <si>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</si>
  <si>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</si>
  <si>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</si>
  <si>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</si>
  <si>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</si>
  <si>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</si>
  <si>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</si>
  <si>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</si>
  <si>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</si>
  <si>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</si>
  <si>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</si>
  <si>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</si>
  <si>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</si>
  <si>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</si>
  <si>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</si>
  <si>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</si>
  <si>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</si>
  <si>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</si>
  <si>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</si>
  <si>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</si>
  <si>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</si>
  <si>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</si>
  <si>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</si>
  <si>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</si>
  <si>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</si>
  <si>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</si>
  <si>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</si>
  <si>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</si>
  <si>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</si>
  <si>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</si>
  <si>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</si>
  <si>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</si>
  <si>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</si>
  <si>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</si>
  <si>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</si>
  <si>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</si>
  <si>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</si>
  <si>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</si>
  <si>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</si>
  <si>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</si>
  <si>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</si>
  <si>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</si>
  <si>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</si>
  <si>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</si>
  <si>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</si>
  <si>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</si>
  <si>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</si>
  <si>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</si>
  <si>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</si>
  <si>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</si>
  <si>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</si>
  <si>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</si>
  <si>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</si>
  <si>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</si>
  <si>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</si>
  <si>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</si>
  <si>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</si>
  <si>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</si>
  <si>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</si>
  <si>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</si>
  <si>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</si>
  <si>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</si>
  <si>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</si>
  <si>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</si>
  <si>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</si>
  <si>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</si>
  <si>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</si>
  <si>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</si>
  <si>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</si>
  <si>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</si>
  <si>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</si>
  <si>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</si>
  <si>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</si>
  <si>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</si>
  <si>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</si>
  <si>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</si>
  <si>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</si>
  <si>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</si>
  <si>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</si>
  <si>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</si>
  <si>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</si>
  <si>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</si>
  <si>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</si>
  <si>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</si>
  <si>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</si>
  <si>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</si>
  <si>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</si>
  <si>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</si>
  <si>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</si>
  <si>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</si>
  <si>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</si>
  <si>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</si>
  <si>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</si>
  <si>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</si>
  <si>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</si>
  <si>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</si>
  <si>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</si>
  <si>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</si>
  <si>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</si>
  <si>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</si>
  <si>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</si>
  <si>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</si>
  <si>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</si>
  <si>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</si>
  <si>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</si>
  <si>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</si>
  <si>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</si>
  <si>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</si>
  <si>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</si>
  <si>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</si>
  <si>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</si>
  <si>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</si>
  <si>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</si>
  <si>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</si>
  <si>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</si>
  <si>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</si>
  <si>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</si>
  <si>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</si>
  <si>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</si>
  <si>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</si>
  <si>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</si>
  <si>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</si>
  <si>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</si>
  <si>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</si>
  <si>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</si>
  <si>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</si>
  <si>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</si>
  <si>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</si>
  <si>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</si>
  <si>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</si>
  <si>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</si>
  <si>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</si>
  <si>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</si>
  <si>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</si>
  <si>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</si>
  <si>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</si>
  <si>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</si>
  <si>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</si>
  <si>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</si>
  <si>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</si>
  <si>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</si>
  <si>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</si>
  <si>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</si>
  <si>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</si>
  <si>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</si>
  <si>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</si>
  <si>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</si>
  <si>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</si>
  <si>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</si>
  <si>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</si>
  <si>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</si>
  <si>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</si>
  <si>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</si>
  <si>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</si>
  <si>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</si>
  <si>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</si>
  <si>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</si>
  <si>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</si>
  <si>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</si>
  <si>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</si>
  <si>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</si>
  <si>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</si>
  <si>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</si>
  <si>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</si>
  <si>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</si>
  <si>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</si>
  <si>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</si>
  <si>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</si>
  <si>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</si>
  <si>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</si>
  <si>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</si>
  <si>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</si>
  <si>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</si>
  <si>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</si>
  <si>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</si>
  <si>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</si>
  <si>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</si>
  <si>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</si>
  <si>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</si>
  <si>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</si>
  <si>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</si>
  <si>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</si>
  <si>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</si>
  <si>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</si>
  <si>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</si>
  <si>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</si>
  <si>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</si>
  <si>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</si>
  <si>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</si>
  <si>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</si>
  <si>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</si>
  <si>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</si>
  <si>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</si>
  <si>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</si>
  <si>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</si>
  <si>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</si>
  <si>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</si>
  <si>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</si>
  <si>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</si>
  <si>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</si>
  <si>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</si>
  <si>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</si>
  <si>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</si>
  <si>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</si>
  <si>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</si>
  <si>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</si>
  <si>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</si>
  <si>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</si>
  <si>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</si>
  <si>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</si>
  <si>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</si>
  <si>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</si>
  <si>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</si>
  <si>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</si>
  <si>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</si>
  <si>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</si>
  <si>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</si>
  <si>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</si>
  <si>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</si>
  <si>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</si>
  <si>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</si>
  <si>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</si>
  <si>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</si>
  <si>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</si>
  <si>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</si>
  <si>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</si>
  <si>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</si>
  <si>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</si>
  <si>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</si>
  <si>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</si>
  <si>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</si>
  <si>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</si>
  <si>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</si>
  <si>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</si>
  <si>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</si>
  <si>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</si>
  <si>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</si>
  <si>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</si>
  <si>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</si>
  <si>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</si>
  <si>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</si>
  <si>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</si>
  <si>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</si>
  <si>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</si>
  <si>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</si>
  <si>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</si>
  <si>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</si>
  <si>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</si>
  <si>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</si>
  <si>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</si>
  <si>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</si>
  <si>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</si>
  <si>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</si>
  <si>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</si>
  <si>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</si>
  <si>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</si>
  <si>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</si>
  <si>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</si>
  <si>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</si>
  <si>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</si>
  <si>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</si>
  <si>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</si>
  <si>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</si>
  <si>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</si>
  <si>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</si>
  <si>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</si>
  <si>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</si>
  <si>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</si>
  <si>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</si>
  <si>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</si>
  <si>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</si>
  <si>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</si>
  <si>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</si>
  <si>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</si>
  <si>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</si>
  <si>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</si>
  <si>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</si>
  <si>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</si>
  <si>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</si>
  <si>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</si>
  <si>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</si>
  <si>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</si>
  <si>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</si>
  <si>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</si>
  <si>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</si>
  <si>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</si>
  <si>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</si>
  <si>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</si>
  <si>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</si>
  <si>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</si>
  <si>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</si>
  <si>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</si>
  <si>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</si>
  <si>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</si>
  <si>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</si>
  <si>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</si>
  <si>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</si>
  <si>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</si>
  <si>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</si>
  <si>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</si>
  <si>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</si>
  <si>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</si>
  <si>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</si>
  <si>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</si>
  <si>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</si>
  <si>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</si>
  <si>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</si>
  <si>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</si>
  <si>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</si>
  <si>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</si>
  <si>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</si>
  <si>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</si>
  <si>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</si>
  <si>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</si>
  <si>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</si>
  <si>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</si>
  <si>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</si>
  <si>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</si>
  <si>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</si>
  <si>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</si>
  <si>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</si>
  <si>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</si>
  <si>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</si>
  <si>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</si>
  <si>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</si>
  <si>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</si>
  <si>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</si>
  <si>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</si>
  <si>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</si>
  <si>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</si>
  <si>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</si>
  <si>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</si>
  <si>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</si>
  <si>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</si>
  <si>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</si>
  <si>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</si>
  <si>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</si>
  <si>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</si>
  <si>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</si>
  <si>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</si>
  <si>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</si>
  <si>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</si>
  <si>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</si>
  <si>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</si>
  <si>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</si>
  <si>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</si>
  <si>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</si>
  <si>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</si>
  <si>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</si>
  <si>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</si>
  <si>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</si>
  <si>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</si>
  <si>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</si>
  <si>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</si>
  <si>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</si>
  <si>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</si>
  <si>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</si>
  <si>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</si>
  <si>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</si>
  <si>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</si>
  <si>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</si>
  <si>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</si>
  <si>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</si>
  <si>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</si>
  <si>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</si>
  <si>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</si>
  <si>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</si>
  <si>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</si>
  <si>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</si>
  <si>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</si>
  <si>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</si>
  <si>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</si>
  <si>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</si>
  <si>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</si>
  <si>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</si>
  <si>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</si>
  <si>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</si>
  <si>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</si>
  <si>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</si>
  <si>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</si>
  <si>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</si>
  <si>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</si>
  <si>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</si>
  <si>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</si>
  <si>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</si>
  <si>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</si>
  <si>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</si>
  <si>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</si>
  <si>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</si>
  <si>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</si>
  <si>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</si>
  <si>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</si>
  <si>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</si>
  <si>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</si>
  <si>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</si>
  <si>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</si>
  <si>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</si>
  <si>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</si>
  <si>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</si>
  <si>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</si>
  <si>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</si>
  <si>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</si>
  <si>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</si>
  <si>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</si>
  <si>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</si>
  <si>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</si>
  <si>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</si>
  <si>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</si>
  <si>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</si>
  <si>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</si>
  <si>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</si>
  <si>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</si>
  <si>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</si>
  <si>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</si>
  <si>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</si>
  <si>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</si>
  <si>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</si>
  <si>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</si>
  <si>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</si>
  <si>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</si>
  <si>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</si>
  <si>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</si>
  <si>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</si>
  <si>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</si>
  <si>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</si>
  <si>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</si>
  <si>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</si>
  <si>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</si>
  <si>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</si>
  <si>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</si>
  <si>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</si>
  <si>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</si>
  <si>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</si>
  <si>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</si>
  <si>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</si>
  <si>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</si>
  <si>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</si>
  <si>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</si>
  <si>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</si>
  <si>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</si>
  <si>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</si>
  <si>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</si>
  <si>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</si>
  <si>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</si>
  <si>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</si>
  <si>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</si>
  <si>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</si>
  <si>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</si>
  <si>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</si>
  <si>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</si>
  <si>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</si>
  <si>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</si>
  <si>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</si>
  <si>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</si>
  <si>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</si>
  <si>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</si>
  <si>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</si>
  <si>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</si>
  <si>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</si>
  <si>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</si>
  <si>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</si>
  <si>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</si>
  <si>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</si>
  <si>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</si>
  <si>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</si>
  <si>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</si>
  <si>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</si>
  <si>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</si>
  <si>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</si>
  <si>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</si>
  <si>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</si>
  <si>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</si>
  <si>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</si>
  <si>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</si>
  <si>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</si>
  <si>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</si>
  <si>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</si>
  <si>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</si>
  <si>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</si>
  <si>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</si>
  <si>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</si>
  <si>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</si>
  <si>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</si>
  <si>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</si>
  <si>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</si>
  <si>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</si>
  <si>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</si>
  <si>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</si>
  <si>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</si>
  <si>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</si>
  <si>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</si>
  <si>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</si>
  <si>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</si>
  <si>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</si>
  <si>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</si>
  <si>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</si>
  <si>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</si>
  <si>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</si>
  <si>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</si>
  <si>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</si>
  <si>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</si>
  <si>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</si>
  <si>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</si>
  <si>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</si>
  <si>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</si>
  <si>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</si>
  <si>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</si>
  <si>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</si>
  <si>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</si>
  <si>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</si>
  <si>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</si>
  <si>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</si>
  <si>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</si>
  <si>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</si>
  <si>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</si>
  <si>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</si>
  <si>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</si>
  <si>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</si>
  <si>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</si>
  <si>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</si>
  <si>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</si>
  <si>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</si>
  <si>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</si>
  <si>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</si>
  <si>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</si>
  <si>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</si>
  <si>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</si>
  <si>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</si>
  <si>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</si>
  <si>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</si>
  <si>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</si>
  <si>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</si>
  <si>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</si>
  <si>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</si>
  <si>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</si>
  <si>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</si>
  <si>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</si>
  <si>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</si>
  <si>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</si>
  <si>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</si>
  <si>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</si>
  <si>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</si>
  <si>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</si>
  <si>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</si>
  <si>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</si>
  <si>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</si>
  <si>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</si>
  <si>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</si>
  <si>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</si>
  <si>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</si>
  <si>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</si>
  <si>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</si>
  <si>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</si>
  <si>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</si>
  <si>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</si>
  <si>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</si>
  <si>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</si>
  <si>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</si>
  <si>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</si>
  <si>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</si>
  <si>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</si>
  <si>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</si>
  <si>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</si>
  <si>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</si>
  <si>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</si>
  <si>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</si>
  <si>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</si>
  <si>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</si>
  <si>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</si>
  <si>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</si>
  <si>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</si>
  <si>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</si>
  <si>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</si>
  <si>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</si>
  <si>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</si>
  <si>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</si>
  <si>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</si>
  <si>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</si>
  <si>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</si>
  <si>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</si>
  <si>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</si>
  <si>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</si>
  <si>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</si>
  <si>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</si>
  <si>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</si>
  <si>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</si>
  <si>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</si>
  <si>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</si>
  <si>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</si>
  <si>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</si>
  <si>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</si>
  <si>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</si>
  <si>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</si>
  <si>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</si>
  <si>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</si>
  <si>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</si>
  <si>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</si>
  <si>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</si>
  <si>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</si>
  <si>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</si>
  <si>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</si>
  <si>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</si>
  <si>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</si>
  <si>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</si>
  <si>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</si>
  <si>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</si>
  <si>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</si>
  <si>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</si>
  <si>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</si>
  <si>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</si>
  <si>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</si>
  <si>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</si>
  <si>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</si>
  <si>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</si>
  <si>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</si>
  <si>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</si>
  <si>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</si>
  <si>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</si>
  <si>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</si>
  <si>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</si>
  <si>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</si>
  <si>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</si>
  <si>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</si>
  <si>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</si>
  <si>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</si>
  <si>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</si>
  <si>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</si>
  <si>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</si>
  <si>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</si>
  <si>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</si>
  <si>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</si>
  <si>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</si>
  <si>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</si>
  <si>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</si>
  <si>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</si>
  <si>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</si>
  <si>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</si>
  <si>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</si>
  <si>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</si>
  <si>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</si>
  <si>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</si>
  <si>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</si>
  <si>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</si>
  <si>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</si>
  <si>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</si>
  <si>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</si>
  <si>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</si>
  <si>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</si>
  <si>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</si>
  <si>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</si>
  <si>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</si>
  <si>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</si>
  <si>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</si>
  <si>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</si>
  <si>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</si>
  <si>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</si>
  <si>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</si>
  <si>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</si>
  <si>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</si>
  <si>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</si>
  <si>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</si>
  <si>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</si>
  <si>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</si>
  <si>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</si>
  <si>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</si>
  <si>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</si>
  <si>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</si>
  <si>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</si>
  <si>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</si>
  <si>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</si>
  <si>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</si>
  <si>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</si>
  <si>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</si>
  <si>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</si>
  <si>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</si>
  <si>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</si>
  <si>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</si>
  <si>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</si>
  <si>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</si>
  <si>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</si>
  <si>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</si>
  <si>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</si>
  <si>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</si>
  <si>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</si>
  <si>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</si>
  <si>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</si>
  <si>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</si>
  <si>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</si>
  <si>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</si>
  <si>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</si>
  <si>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</si>
  <si>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</si>
  <si>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</si>
  <si>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</si>
  <si>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</si>
  <si>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</si>
  <si>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</si>
  <si>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</si>
  <si>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</si>
  <si>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</si>
  <si>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</si>
  <si>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</si>
  <si>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</si>
  <si>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</si>
  <si>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</si>
  <si>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</si>
  <si>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</si>
  <si>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</si>
  <si>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</si>
  <si>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</si>
  <si>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</si>
  <si>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</si>
  <si>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</si>
  <si>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</si>
  <si>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</si>
  <si>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</si>
  <si>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</si>
  <si>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</si>
  <si>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</si>
  <si>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</si>
  <si>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</si>
  <si>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</si>
  <si>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</si>
  <si>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</si>
  <si>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</si>
  <si>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</si>
  <si>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</si>
  <si>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</si>
  <si>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</si>
  <si>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</si>
  <si>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</si>
  <si>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</si>
  <si>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</si>
  <si>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</si>
  <si>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</si>
  <si>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</si>
  <si>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</si>
  <si>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</si>
  <si>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</si>
  <si>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</si>
  <si>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</si>
  <si>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</si>
  <si>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</si>
  <si>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</si>
  <si>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</si>
  <si>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</si>
  <si>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</si>
  <si>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</si>
  <si>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</si>
  <si>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</si>
  <si>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</si>
  <si>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</si>
  <si>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</si>
  <si>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</si>
  <si>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</si>
  <si>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</si>
  <si>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</si>
  <si>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</si>
  <si>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</si>
  <si>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</si>
  <si>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</si>
  <si>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</si>
  <si>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</si>
  <si>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</si>
  <si>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</si>
  <si>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</si>
  <si>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</si>
  <si>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</si>
  <si>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</si>
  <si>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</si>
  <si>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</si>
  <si>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</si>
  <si>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</si>
  <si>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</si>
  <si>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</si>
  <si>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</si>
  <si>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</si>
  <si>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</si>
  <si>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</si>
  <si>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</si>
  <si>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</si>
  <si>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</si>
  <si>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</si>
  <si>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</si>
  <si>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</si>
  <si>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</si>
  <si>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</si>
  <si>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</si>
  <si>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</si>
  <si>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</si>
  <si>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</si>
  <si>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</si>
  <si>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</si>
  <si>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</si>
  <si>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</si>
  <si>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</si>
  <si>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</si>
  <si>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</si>
  <si>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</si>
  <si>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</si>
  <si>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</si>
  <si>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</si>
  <si>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</si>
  <si>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</si>
  <si>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</si>
  <si>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</si>
  <si>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</si>
  <si>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</si>
  <si>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</si>
  <si>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</si>
  <si>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</si>
  <si>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</si>
  <si>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</si>
  <si>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</si>
  <si>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</si>
  <si>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</si>
  <si>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</si>
  <si>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</si>
  <si>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</si>
  <si>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</si>
  <si>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</si>
  <si>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</si>
  <si>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</si>
  <si>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</si>
  <si>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</si>
  <si>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</si>
  <si>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</si>
  <si>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</si>
  <si>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</si>
  <si>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</si>
  <si>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</si>
  <si>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</si>
  <si>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</si>
  <si>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</si>
  <si>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</si>
  <si>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</si>
  <si>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</si>
  <si>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</si>
  <si>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</si>
  <si>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</si>
  <si>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</si>
  <si>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</si>
  <si>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</si>
  <si>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</si>
  <si>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</si>
  <si>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</si>
  <si>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</si>
  <si>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</si>
  <si>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</si>
  <si>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</si>
  <si>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</si>
  <si>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</si>
  <si>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</si>
  <si>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</si>
  <si>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</si>
  <si>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</si>
  <si>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</si>
  <si>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</si>
  <si>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</si>
  <si>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</si>
  <si>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</si>
  <si>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</si>
  <si>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</si>
  <si>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</si>
  <si>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</si>
  <si>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</si>
  <si>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</si>
  <si>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</si>
  <si>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</si>
  <si>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</si>
  <si>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</si>
  <si>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</si>
  <si>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</si>
  <si>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</si>
  <si>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</si>
  <si>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</si>
  <si>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</si>
  <si>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</si>
  <si>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</si>
  <si>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</si>
  <si>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</si>
  <si>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</si>
  <si>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</si>
  <si>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</si>
  <si>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</si>
  <si>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</si>
  <si>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</si>
  <si>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</si>
  <si>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</si>
  <si>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</si>
  <si>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</si>
  <si>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</si>
  <si>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</si>
  <si>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</si>
  <si>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</si>
  <si>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</si>
  <si>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</si>
  <si>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</si>
  <si>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</si>
  <si>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</si>
  <si>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</si>
  <si>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</si>
  <si>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</si>
  <si>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</si>
  <si>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</si>
  <si>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</si>
  <si>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</si>
  <si>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</si>
  <si>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</si>
  <si>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</si>
  <si>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</si>
  <si>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</si>
  <si>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</si>
  <si>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</si>
  <si>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</si>
  <si>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</si>
  <si>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</si>
  <si>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</si>
  <si>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</si>
  <si>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</si>
  <si>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</si>
  <si>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</si>
  <si>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</si>
  <si>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</si>
  <si>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</si>
  <si>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</si>
  <si>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</si>
  <si>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</si>
  <si>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</si>
  <si>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</si>
  <si>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</si>
  <si>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</si>
  <si>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</si>
  <si>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</si>
  <si>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</si>
  <si>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</si>
  <si>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</si>
  <si>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</si>
  <si>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</si>
  <si>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</si>
  <si>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</si>
  <si>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</si>
  <si>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</si>
  <si>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</si>
  <si>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</si>
  <si>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</si>
  <si>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</si>
  <si>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</si>
  <si>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</si>
  <si>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</si>
  <si>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</si>
  <si>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</si>
  <si>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</si>
  <si>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</si>
  <si>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</si>
  <si>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</si>
  <si>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</si>
  <si>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</si>
  <si>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</si>
  <si>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</si>
  <si>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</si>
  <si>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</si>
  <si>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</si>
  <si>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</si>
  <si>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</si>
  <si>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</si>
  <si>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</si>
  <si>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</si>
  <si>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</si>
  <si>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</si>
  <si>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</si>
  <si>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</si>
  <si>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</si>
  <si>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</si>
  <si>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</si>
  <si>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</si>
  <si>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</si>
  <si>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</si>
  <si>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</si>
  <si>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</si>
  <si>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</si>
  <si>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</si>
  <si>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</si>
  <si>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</si>
  <si>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</si>
  <si>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</si>
  <si>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</si>
  <si>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</si>
  <si>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</si>
  <si>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</si>
  <si>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</si>
  <si>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</si>
  <si>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</si>
  <si>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</si>
  <si>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</si>
  <si>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</si>
  <si>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</si>
  <si>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</si>
  <si>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</si>
  <si>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</si>
  <si>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</si>
  <si>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</si>
  <si>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</si>
  <si>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</si>
  <si>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</si>
  <si>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</si>
  <si>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</si>
  <si>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</si>
  <si>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</si>
  <si>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</si>
  <si>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</si>
  <si>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</si>
  <si>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</si>
  <si>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</si>
  <si>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</si>
  <si>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</si>
  <si>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</si>
  <si>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</si>
  <si>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</si>
  <si>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</si>
  <si>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</si>
  <si>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</si>
  <si>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</si>
  <si>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</si>
  <si>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</si>
  <si>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</si>
  <si>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</si>
  <si>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</si>
  <si>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</si>
  <si>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</si>
  <si>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</si>
  <si>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</si>
  <si>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</si>
  <si>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</si>
  <si>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</si>
  <si>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</si>
  <si>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</si>
  <si>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</si>
  <si>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</si>
  <si>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</si>
  <si>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</si>
  <si>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</si>
  <si>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</si>
  <si>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</si>
  <si>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</si>
  <si>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</si>
  <si>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</si>
  <si>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</si>
  <si>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</si>
  <si>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</si>
  <si>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</si>
  <si>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</si>
  <si>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</si>
  <si>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</si>
  <si>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</si>
  <si>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</si>
  <si>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</si>
  <si>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</si>
  <si>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</si>
  <si>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</si>
  <si>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</si>
  <si>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</si>
  <si>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</si>
  <si>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</si>
  <si>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</si>
  <si>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</si>
  <si>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</si>
  <si>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</si>
  <si>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</si>
  <si>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</si>
  <si>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</si>
  <si>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</si>
  <si>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</si>
  <si>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</si>
  <si>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</si>
  <si>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</si>
  <si>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</si>
  <si>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</si>
  <si>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</si>
  <si>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</si>
  <si>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</si>
  <si>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</si>
  <si>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</si>
  <si>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</si>
  <si>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</si>
  <si>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</si>
  <si>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</si>
  <si>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</si>
  <si>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</si>
  <si>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</si>
  <si>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</si>
  <si>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</si>
  <si>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</si>
  <si>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</si>
  <si>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</si>
  <si>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</si>
  <si>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</si>
  <si>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</si>
  <si>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</si>
  <si>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</si>
  <si>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</si>
  <si>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</si>
  <si>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</si>
  <si>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</si>
  <si>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</si>
  <si>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</si>
  <si>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</si>
  <si>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</si>
  <si>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</si>
  <si>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</si>
  <si>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</si>
  <si>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</si>
  <si>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</si>
  <si>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</si>
  <si>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</si>
  <si>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</si>
  <si>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</si>
  <si>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</si>
  <si>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</si>
  <si>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</si>
  <si>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</si>
  <si>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</si>
  <si>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</si>
  <si>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</si>
  <si>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</si>
  <si>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</si>
  <si>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</si>
  <si>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</si>
  <si>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</si>
  <si>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</si>
  <si>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</si>
  <si>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</si>
  <si>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</si>
  <si>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</si>
  <si>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</si>
  <si>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</si>
  <si>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</si>
  <si>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</si>
  <si>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</si>
  <si>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</si>
  <si>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</si>
  <si>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</si>
  <si>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</si>
  <si>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</si>
  <si>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</si>
  <si>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</si>
  <si>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</si>
  <si>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</si>
  <si>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</si>
  <si>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</si>
  <si>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</si>
  <si>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</si>
  <si>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</si>
  <si>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</si>
  <si>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</si>
  <si>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</si>
  <si>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</si>
  <si>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</si>
  <si>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</si>
  <si>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</si>
  <si>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</si>
  <si>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</si>
  <si>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</si>
  <si>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</si>
  <si>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</si>
  <si>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</si>
  <si>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</si>
  <si>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</si>
  <si>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</si>
  <si>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</si>
  <si>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</si>
  <si>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</si>
  <si>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</si>
  <si>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</si>
  <si>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</si>
  <si>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</si>
  <si>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</si>
  <si>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</si>
  <si>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</si>
  <si>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</si>
  <si>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</si>
  <si>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</si>
  <si>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</si>
  <si>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</si>
  <si>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</si>
  <si>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</si>
  <si>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</si>
  <si>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</si>
  <si>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</si>
  <si>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</si>
  <si>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</si>
  <si>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</si>
  <si>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</si>
  <si>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</si>
  <si>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</si>
  <si>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</si>
  <si>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</si>
  <si>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</si>
  <si>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</si>
  <si>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</si>
  <si>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</si>
  <si>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</si>
  <si>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</si>
  <si>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</si>
  <si>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</si>
  <si>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</si>
  <si>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</si>
  <si>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</si>
  <si>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</si>
  <si>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</si>
  <si>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</si>
  <si>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</si>
  <si>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</si>
  <si>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</si>
  <si>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</si>
  <si>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</si>
  <si>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</si>
  <si>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</si>
  <si>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</si>
  <si>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</si>
  <si>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</si>
  <si>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</si>
  <si>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</si>
  <si>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</si>
  <si>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</si>
  <si>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</si>
  <si>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</si>
  <si>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</si>
  <si>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</si>
  <si>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</si>
  <si>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</si>
  <si>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</si>
  <si>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</si>
  <si>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</si>
  <si>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</si>
  <si>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</si>
  <si>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</si>
  <si>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</si>
  <si>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</si>
  <si>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</si>
  <si>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</si>
  <si>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</si>
  <si>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</si>
  <si>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</si>
  <si>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</si>
  <si>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</si>
  <si>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</si>
  <si>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</si>
  <si>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</si>
  <si>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</si>
  <si>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</si>
  <si>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</si>
  <si>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</si>
  <si>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</si>
  <si>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</si>
  <si>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</si>
  <si>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</si>
  <si>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</si>
  <si>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</si>
  <si>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</si>
  <si>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</si>
  <si>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</si>
  <si>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</si>
  <si>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</si>
  <si>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</si>
  <si>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</si>
  <si>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</si>
  <si>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</si>
  <si>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</si>
  <si>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</si>
  <si>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</si>
  <si>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</si>
  <si>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</si>
  <si>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</si>
  <si>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</si>
  <si>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</si>
  <si>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</si>
  <si>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</si>
  <si>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</si>
  <si>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</si>
  <si>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</si>
  <si>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</si>
  <si>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</si>
  <si>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</si>
  <si>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</si>
  <si>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</si>
  <si>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</si>
  <si>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</si>
  <si>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</si>
  <si>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</si>
  <si>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</si>
  <si>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</si>
  <si>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</si>
  <si>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</si>
  <si>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</si>
  <si>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</si>
  <si>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</si>
  <si>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</si>
  <si>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</si>
  <si>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</si>
  <si>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</si>
  <si>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</si>
  <si>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</si>
  <si>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</si>
  <si>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</si>
  <si>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</si>
  <si>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</si>
  <si>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</si>
  <si>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</si>
  <si>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</si>
  <si>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</si>
  <si>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</si>
  <si>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</si>
  <si>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</si>
  <si>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</si>
  <si>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</si>
  <si>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</si>
  <si>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</si>
  <si>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</si>
  <si>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</si>
  <si>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</si>
  <si>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</si>
  <si>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</si>
  <si>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</si>
  <si>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</si>
  <si>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</si>
  <si>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</si>
  <si>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</si>
  <si>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</si>
  <si>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</si>
  <si>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</si>
  <si>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</si>
  <si>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</si>
  <si>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</si>
  <si>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</si>
  <si>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</si>
  <si>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</si>
  <si>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</si>
  <si>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</si>
  <si>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</si>
  <si>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</si>
  <si>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</si>
  <si>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</si>
  <si>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</si>
  <si>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</si>
  <si>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</si>
  <si>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</si>
  <si>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</si>
  <si>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</si>
  <si>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</si>
  <si>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</si>
  <si>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</si>
  <si>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</si>
  <si>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</si>
  <si>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</si>
  <si>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</si>
  <si>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</si>
  <si>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</si>
  <si>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</si>
  <si>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</si>
  <si>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</si>
  <si>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</si>
  <si>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</si>
  <si>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</si>
  <si>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</si>
  <si>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</si>
  <si>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</si>
  <si>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</si>
  <si>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</si>
  <si>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</si>
  <si>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</si>
  <si>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</si>
  <si>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</si>
  <si>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</si>
  <si>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</si>
  <si>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</si>
  <si>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</si>
  <si>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</si>
  <si>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</si>
  <si>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</si>
  <si>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</si>
  <si>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</si>
  <si>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</si>
  <si>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</si>
  <si>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</si>
  <si>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</si>
  <si>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</si>
  <si>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</si>
  <si>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</si>
  <si>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</si>
  <si>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</si>
  <si>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</si>
  <si>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</si>
  <si>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</si>
  <si>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</si>
  <si>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</si>
  <si>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</si>
  <si>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</si>
  <si>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</si>
  <si>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</si>
  <si>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</si>
  <si>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</si>
  <si>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</si>
  <si>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</si>
  <si>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</si>
  <si>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</si>
  <si>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</si>
  <si>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</si>
  <si>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</si>
  <si>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</si>
  <si>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</si>
  <si>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</si>
  <si>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</si>
  <si>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</si>
  <si>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</si>
  <si>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</si>
  <si>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</si>
  <si>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</si>
  <si>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</si>
  <si>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</si>
  <si>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</si>
  <si>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</si>
  <si>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</si>
  <si>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</si>
  <si>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</si>
  <si>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</si>
  <si>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</si>
  <si>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</si>
  <si>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</si>
  <si>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</si>
  <si>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</si>
  <si>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</si>
  <si>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</si>
  <si>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</si>
  <si>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</si>
  <si>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</si>
  <si>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</si>
  <si>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</si>
  <si>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</si>
  <si>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</si>
  <si>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</si>
  <si>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</si>
  <si>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</si>
  <si>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</si>
  <si>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</si>
  <si>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</si>
  <si>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</si>
  <si>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</si>
  <si>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</si>
  <si>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</si>
  <si>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</si>
  <si>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</si>
  <si>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</si>
  <si>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</si>
  <si>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</si>
  <si>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</si>
  <si>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</si>
  <si>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</si>
  <si>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</si>
  <si>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</si>
  <si>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</si>
  <si>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</si>
  <si>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</si>
  <si>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</si>
  <si>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</si>
  <si>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</si>
  <si>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</si>
  <si>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</si>
  <si>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</si>
  <si>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</si>
  <si>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</si>
  <si>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</si>
  <si>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</si>
  <si>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</si>
  <si>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</si>
  <si>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</si>
  <si>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</si>
  <si>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</si>
  <si>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</si>
  <si>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</si>
  <si>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</si>
  <si>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</si>
  <si>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</si>
  <si>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</si>
  <si>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</si>
  <si>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</si>
  <si>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</si>
  <si>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</si>
  <si>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</si>
  <si>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</si>
  <si>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</si>
  <si>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</si>
  <si>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</si>
  <si>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</si>
  <si>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</si>
  <si>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</si>
  <si>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</si>
  <si>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</si>
  <si>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</si>
  <si>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</si>
  <si>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</si>
  <si>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</si>
  <si>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</si>
  <si>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</si>
  <si>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</si>
  <si>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</si>
  <si>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</si>
  <si>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</si>
  <si>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</si>
  <si>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</si>
  <si>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</si>
  <si>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</si>
  <si>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</si>
  <si>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</si>
  <si>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</si>
  <si>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</si>
  <si>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</si>
  <si>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</si>
  <si>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</si>
  <si>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</si>
  <si>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</si>
  <si>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</si>
  <si>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</si>
  <si>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</si>
  <si>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</si>
  <si>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</si>
  <si>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</si>
  <si>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</si>
  <si>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</si>
  <si>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</si>
  <si>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</si>
  <si>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</si>
  <si>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</si>
  <si>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</si>
  <si>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</si>
  <si>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</si>
  <si>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</si>
  <si>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</si>
  <si>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</si>
  <si>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</si>
  <si>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</si>
  <si>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</si>
  <si>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</si>
  <si>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</si>
  <si>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</si>
  <si>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</si>
  <si>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</si>
  <si>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</si>
  <si>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</si>
  <si>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</si>
  <si>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</si>
  <si>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</si>
  <si>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</si>
  <si>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</si>
  <si>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</si>
  <si>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</si>
  <si>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</si>
  <si>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</si>
  <si>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</si>
  <si>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</si>
  <si>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</si>
  <si>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</si>
  <si>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</si>
  <si>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</si>
  <si>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</si>
  <si>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</si>
  <si>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</si>
  <si>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</si>
  <si>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</si>
  <si>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</si>
  <si>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</si>
  <si>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</si>
  <si>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</si>
  <si>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</si>
  <si>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</si>
  <si>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</si>
  <si>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</si>
  <si>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</si>
  <si>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</si>
  <si>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</si>
  <si>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</si>
  <si>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</si>
  <si>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</si>
  <si>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</si>
  <si>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</si>
  <si>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</si>
  <si>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</si>
  <si>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</si>
  <si>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</si>
  <si>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</si>
  <si>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</si>
  <si>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</si>
  <si>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</si>
  <si>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</si>
  <si>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</si>
  <si>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</si>
  <si>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</si>
  <si>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</si>
  <si>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</si>
  <si>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</si>
  <si>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</si>
  <si>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</si>
  <si>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</si>
  <si>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</si>
  <si>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</si>
  <si>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</si>
  <si>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</si>
  <si>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</si>
  <si>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</si>
  <si>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</si>
  <si>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</si>
  <si>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</si>
  <si>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</si>
  <si>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</si>
  <si>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</si>
  <si>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</si>
  <si>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</si>
  <si>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</si>
  <si>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</si>
  <si>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</si>
  <si>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</si>
  <si>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</si>
  <si>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</si>
  <si>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</si>
  <si>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</si>
  <si>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</si>
  <si>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</si>
  <si>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</si>
  <si>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</si>
  <si>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</si>
  <si>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</si>
  <si>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</si>
  <si>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</si>
  <si>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</si>
  <si>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</si>
  <si>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</si>
  <si>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</si>
  <si>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</si>
  <si>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</si>
  <si>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</si>
  <si>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</si>
  <si>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</si>
  <si>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</si>
  <si>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</si>
  <si>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</si>
  <si>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</si>
  <si>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</si>
  <si>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</si>
  <si>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</si>
  <si>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</si>
  <si>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</si>
  <si>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</si>
  <si>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</si>
  <si>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</si>
  <si>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</si>
  <si>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</si>
  <si>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</si>
  <si>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</si>
  <si>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</si>
  <si>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</si>
  <si>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</si>
  <si>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</si>
  <si>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</si>
  <si>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</si>
  <si>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</si>
  <si>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</si>
  <si>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</si>
  <si>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</si>
  <si>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</si>
  <si>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</si>
  <si>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</si>
  <si>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</si>
  <si>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</si>
  <si>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</si>
  <si>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</si>
  <si>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</si>
  <si>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</si>
  <si>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</si>
  <si>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</si>
  <si>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</si>
  <si>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</si>
  <si>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</si>
  <si>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</si>
  <si>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</si>
  <si>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</si>
  <si>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</si>
  <si>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</si>
  <si>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</si>
  <si>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</si>
  <si>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</si>
  <si>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</si>
  <si>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</si>
  <si>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</si>
  <si>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</si>
  <si>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</si>
  <si>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</si>
  <si>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</si>
  <si>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</si>
  <si>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</si>
  <si>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</si>
  <si>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</si>
  <si>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</si>
  <si>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</si>
  <si>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</si>
  <si>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</si>
  <si>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</si>
  <si>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</si>
  <si>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</si>
  <si>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</si>
  <si>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</si>
  <si>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</si>
  <si>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</si>
  <si>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</si>
  <si>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</si>
  <si>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</si>
  <si>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</si>
  <si>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</si>
  <si>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</si>
  <si>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</si>
  <si>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</si>
  <si>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</si>
  <si>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</si>
  <si>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</si>
  <si>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</si>
  <si>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</si>
  <si>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</si>
  <si>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</si>
  <si>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</si>
  <si>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</si>
  <si>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</si>
  <si>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</si>
  <si>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</si>
  <si>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</si>
  <si>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</si>
  <si>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</si>
  <si>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</si>
  <si>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</si>
  <si>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</si>
  <si>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</si>
  <si>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</si>
  <si>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</si>
  <si>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</si>
  <si>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</si>
  <si>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</si>
  <si>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</si>
  <si>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</si>
  <si>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</si>
  <si>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</si>
  <si>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</si>
  <si>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</si>
  <si>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</si>
  <si>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</si>
  <si>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</si>
  <si>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</si>
  <si>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</si>
  <si>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</si>
  <si>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</si>
  <si>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</si>
  <si>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</si>
  <si>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</si>
  <si>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</si>
  <si>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</si>
  <si>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</si>
  <si>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</si>
  <si>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</si>
  <si>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</si>
  <si>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</si>
  <si>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</si>
  <si>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</si>
  <si>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</si>
  <si>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</si>
  <si>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</si>
  <si>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</si>
  <si>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</si>
  <si>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</si>
  <si>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</si>
  <si>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</si>
  <si>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</si>
  <si>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</si>
  <si>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</si>
  <si>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</si>
  <si>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</si>
  <si>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</si>
  <si>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</si>
  <si>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</si>
  <si>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</si>
  <si>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</si>
  <si>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</si>
  <si>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</si>
  <si>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</si>
  <si>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</si>
  <si>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</si>
  <si>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</si>
  <si>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</si>
  <si>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</si>
  <si>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</si>
  <si>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</si>
  <si>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</si>
  <si>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</si>
  <si>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</si>
  <si>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</si>
  <si>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</si>
  <si>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</si>
  <si>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</si>
  <si>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</si>
  <si>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</si>
  <si>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</si>
  <si>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</si>
  <si>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</si>
  <si>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</si>
  <si>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</si>
  <si>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</si>
  <si>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</si>
  <si>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</si>
  <si>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</si>
  <si>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</si>
  <si>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</si>
  <si>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</si>
  <si>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</si>
  <si>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</si>
  <si>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</si>
  <si>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</si>
  <si>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</si>
  <si>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</si>
  <si>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</si>
  <si>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</si>
  <si>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</si>
  <si>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</si>
  <si>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</si>
  <si>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</si>
  <si>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</si>
  <si>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</si>
  <si>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</si>
  <si>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</si>
  <si>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</si>
  <si>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</si>
  <si>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</si>
  <si>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</si>
  <si>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</si>
  <si>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</si>
  <si>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</si>
  <si>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</si>
  <si>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</si>
  <si>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</si>
  <si>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</si>
  <si>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</si>
  <si>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</si>
  <si>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</si>
  <si>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</si>
  <si>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</si>
  <si>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</si>
  <si>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</si>
  <si>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</si>
  <si>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</si>
  <si>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</si>
  <si>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</si>
  <si>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</si>
  <si>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</si>
  <si>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</si>
  <si>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</si>
  <si>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</si>
  <si>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</si>
  <si>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</si>
  <si>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</si>
  <si>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</si>
  <si>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</si>
  <si>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</si>
  <si>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</si>
  <si>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</si>
  <si>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</si>
  <si>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</si>
  <si>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</si>
  <si>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</si>
  <si>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</si>
  <si>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</si>
  <si>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</si>
  <si>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</si>
  <si>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</si>
  <si>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</si>
  <si>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</si>
  <si>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</si>
  <si>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</si>
  <si>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</si>
  <si>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</si>
  <si>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</si>
  <si>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</si>
  <si>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</si>
  <si>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</si>
  <si>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</si>
  <si>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</si>
  <si>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</si>
  <si>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</si>
  <si>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</si>
  <si>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</si>
  <si>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</si>
  <si>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</si>
  <si>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</si>
  <si>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</si>
  <si>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</si>
  <si>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</si>
  <si>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</si>
  <si>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</si>
  <si>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</si>
  <si>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</si>
  <si>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</si>
  <si>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</si>
  <si>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</si>
  <si>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</si>
  <si>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</si>
  <si>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</si>
  <si>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</si>
  <si>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</si>
  <si>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</si>
  <si>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</si>
  <si>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</si>
  <si>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</si>
  <si>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</si>
  <si>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</si>
  <si>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</si>
  <si>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</si>
  <si>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</si>
  <si>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</si>
  <si>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</si>
  <si>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</si>
  <si>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</si>
  <si>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</si>
  <si>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</si>
  <si>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</si>
  <si>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</si>
  <si>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</si>
  <si>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</si>
  <si>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</si>
  <si>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</si>
  <si>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</si>
  <si>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</si>
  <si>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</si>
  <si>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</si>
  <si>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</si>
  <si>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</si>
  <si>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</si>
  <si>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</si>
  <si>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</si>
  <si>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</si>
  <si>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</si>
  <si>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</si>
  <si>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</si>
  <si>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</si>
  <si>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</si>
  <si>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</si>
  <si>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</si>
  <si>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</si>
  <si>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</si>
  <si>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</si>
  <si>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</si>
  <si>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</si>
  <si>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</si>
  <si>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</si>
  <si>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</si>
  <si>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</si>
  <si>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</si>
  <si>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</si>
  <si>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</si>
  <si>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</si>
  <si>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</si>
  <si>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</si>
  <si>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</si>
  <si>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</si>
  <si>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</si>
  <si>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</si>
  <si>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</si>
  <si>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</si>
  <si>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</si>
  <si>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</si>
  <si>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</si>
  <si>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</si>
  <si>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</si>
  <si>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</si>
  <si>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</si>
  <si>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</si>
  <si>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</si>
  <si>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</si>
  <si>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</si>
  <si>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</si>
  <si>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</si>
  <si>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</si>
  <si>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</si>
  <si>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</si>
  <si>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</si>
  <si>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</si>
  <si>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</si>
  <si>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</si>
  <si>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</si>
  <si>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</si>
  <si>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</si>
  <si>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</si>
  <si>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</si>
  <si>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</si>
  <si>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</si>
  <si>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</si>
  <si>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</si>
  <si>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</si>
  <si>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</si>
  <si>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</si>
  <si>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</si>
  <si>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</si>
  <si>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</si>
  <si>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</si>
  <si>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</si>
  <si>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</si>
  <si>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</si>
  <si>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</si>
  <si>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</si>
  <si>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</si>
  <si>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</si>
  <si>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</si>
  <si>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</si>
  <si>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</si>
  <si>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</si>
  <si>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</si>
  <si>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</si>
  <si>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</si>
  <si>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</si>
  <si>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</si>
  <si>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</si>
  <si>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</si>
  <si>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</si>
  <si>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</si>
  <si>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</si>
  <si>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</si>
  <si>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</si>
  <si>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</si>
  <si>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</si>
  <si>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</si>
  <si>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</si>
  <si>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</si>
  <si>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</si>
  <si>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</si>
  <si>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</si>
  <si>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</si>
  <si>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</si>
  <si>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</si>
  <si>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</si>
  <si>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</si>
  <si>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</si>
  <si>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</si>
  <si>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</si>
  <si>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</si>
  <si>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</si>
  <si>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</si>
  <si>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</si>
  <si>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</si>
  <si>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</si>
  <si>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</si>
  <si>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</si>
  <si>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</si>
  <si>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</si>
  <si>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</si>
  <si>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</si>
  <si>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</si>
  <si>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</si>
  <si>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</si>
  <si>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</si>
  <si>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</si>
  <si>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</si>
  <si>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</si>
  <si>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</si>
  <si>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</si>
  <si>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</si>
  <si>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</si>
  <si>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</si>
  <si>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</si>
  <si>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</si>
  <si>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</si>
  <si>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</si>
  <si>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</si>
  <si>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</si>
  <si>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</si>
  <si>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</si>
  <si>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</si>
  <si>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</si>
  <si>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</si>
  <si>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</si>
  <si>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</si>
  <si>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</si>
  <si>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</si>
  <si>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</si>
  <si>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</si>
  <si>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</si>
  <si>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</si>
  <si>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</si>
  <si>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</si>
  <si>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</si>
  <si>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</si>
  <si>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</si>
  <si>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</si>
  <si>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</si>
  <si>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</si>
  <si>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</si>
  <si>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</si>
  <si>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</si>
  <si>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</si>
  <si>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</si>
  <si>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</si>
  <si>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</si>
  <si>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</si>
  <si>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</si>
  <si>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</si>
  <si>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</si>
  <si>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</si>
  <si>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</si>
  <si>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</si>
  <si>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</si>
  <si>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</si>
  <si>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</si>
  <si>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</si>
  <si>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</si>
  <si>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</si>
  <si>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</si>
  <si>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</si>
  <si>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</si>
  <si>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</si>
  <si>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</si>
  <si>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</si>
  <si>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</si>
  <si>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</si>
  <si>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</si>
  <si>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</si>
  <si>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</si>
  <si>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</si>
  <si>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</si>
  <si>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</si>
  <si>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</si>
  <si>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</si>
  <si>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</si>
  <si>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</si>
  <si>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</si>
  <si>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</si>
  <si>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</si>
  <si>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</si>
  <si>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</si>
  <si>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</si>
  <si>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</si>
  <si>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</si>
  <si>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</si>
  <si>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</si>
  <si>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</si>
  <si>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</si>
  <si>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</si>
  <si>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</si>
  <si>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</si>
  <si>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</si>
  <si>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</si>
  <si>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</si>
  <si>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</si>
  <si>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</si>
  <si>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</si>
  <si>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</si>
  <si>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</si>
  <si>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</si>
  <si>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</si>
  <si>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</si>
  <si>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</si>
  <si>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</si>
  <si>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</si>
  <si>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</si>
  <si>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</si>
  <si>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</si>
  <si>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</si>
  <si>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</si>
  <si>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</si>
  <si>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</si>
  <si>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</si>
  <si>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</si>
  <si>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</si>
  <si>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</si>
  <si>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</si>
  <si>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</si>
  <si>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</si>
  <si>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</si>
  <si>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</si>
  <si>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</si>
  <si>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</si>
  <si>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</si>
  <si>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</si>
  <si>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</si>
  <si>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</si>
  <si>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</si>
  <si>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</si>
  <si>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</si>
  <si>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</si>
  <si>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</si>
  <si>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</si>
  <si>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</si>
  <si>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</si>
  <si>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</si>
  <si>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</si>
  <si>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</si>
  <si>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</si>
  <si>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</si>
  <si>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</si>
  <si>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</si>
  <si>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</si>
  <si>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</si>
  <si>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</si>
  <si>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</si>
  <si>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</si>
  <si>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</si>
  <si>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</si>
  <si>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</si>
  <si>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</si>
  <si>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</si>
  <si>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</si>
  <si>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</si>
  <si>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</si>
  <si>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</si>
  <si>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</si>
  <si>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</si>
  <si>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</si>
  <si>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</si>
  <si>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</si>
  <si>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</si>
  <si>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</si>
  <si>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</si>
  <si>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</si>
  <si>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</si>
  <si>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</si>
  <si>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</si>
  <si>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</si>
  <si>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</si>
  <si>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</si>
  <si>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</si>
  <si>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</si>
  <si>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</si>
  <si>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</si>
  <si>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</si>
  <si>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</si>
  <si>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</si>
  <si>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</si>
  <si>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</si>
  <si>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</si>
  <si>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</si>
  <si>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</si>
  <si>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</si>
  <si>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</si>
  <si>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</si>
  <si>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</si>
  <si>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</si>
  <si>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</si>
  <si>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</si>
  <si>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</si>
  <si>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</si>
  <si>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</si>
  <si>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</si>
  <si>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</si>
  <si>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</si>
  <si>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</si>
  <si>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</si>
  <si>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</si>
  <si>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</si>
  <si>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</si>
  <si>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</si>
  <si>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</si>
  <si>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</si>
  <si>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</si>
  <si>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</si>
  <si>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</si>
  <si>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</si>
  <si>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</si>
  <si>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</si>
  <si>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</si>
  <si>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</si>
  <si>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</si>
  <si>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</si>
  <si>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</si>
  <si>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</si>
  <si>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</si>
  <si>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</si>
  <si>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</si>
  <si>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</si>
  <si>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</si>
  <si>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</si>
  <si>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</si>
  <si>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</si>
  <si>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</si>
  <si>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</si>
  <si>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</si>
  <si>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</si>
  <si>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</si>
  <si>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</si>
  <si>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</si>
  <si>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</si>
  <si>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</si>
  <si>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</si>
  <si>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</si>
  <si>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</si>
  <si>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</si>
  <si>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</si>
  <si>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</si>
  <si>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</si>
  <si>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</si>
  <si>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</si>
  <si>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</si>
  <si>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</si>
  <si>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</si>
  <si>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</si>
  <si>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</si>
  <si>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</si>
  <si>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</si>
  <si>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</si>
  <si>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</si>
  <si>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</si>
  <si>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</si>
  <si>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</si>
  <si>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</si>
  <si>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</si>
  <si>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</si>
  <si>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</si>
  <si>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</si>
  <si>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</si>
  <si>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</si>
  <si>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</si>
  <si>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</si>
  <si>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</si>
  <si>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</si>
  <si>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</si>
  <si>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</si>
  <si>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</si>
  <si>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</si>
  <si>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</si>
  <si>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</si>
  <si>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</si>
  <si>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</si>
  <si>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</si>
  <si>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</si>
  <si>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</si>
  <si>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</si>
  <si>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</si>
  <si>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</si>
  <si>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</si>
  <si>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</si>
  <si>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</si>
  <si>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</si>
  <si>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</si>
  <si>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</si>
  <si>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</si>
  <si>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</si>
  <si>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</si>
  <si>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</si>
  <si>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</si>
  <si>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</si>
  <si>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</si>
  <si>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</si>
  <si>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</si>
  <si>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</si>
  <si>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</si>
  <si>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</si>
  <si>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</si>
  <si>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</si>
  <si>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</si>
  <si>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</si>
  <si>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</si>
  <si>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</si>
  <si>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</si>
  <si>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</si>
  <si>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</si>
  <si>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</si>
  <si>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</si>
  <si>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</si>
  <si>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</si>
  <si>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</si>
  <si>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</si>
  <si>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</si>
  <si>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</si>
  <si>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</si>
  <si>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</si>
  <si>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</si>
  <si>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</si>
  <si>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</si>
  <si>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</si>
  <si>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</si>
  <si>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</si>
  <si>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</si>
  <si>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</si>
  <si>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</si>
  <si>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</si>
  <si>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</si>
  <si>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</si>
  <si>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</si>
  <si>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</si>
  <si>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</si>
  <si>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</si>
  <si>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</si>
  <si>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</si>
  <si>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</si>
  <si>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</si>
  <si>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</si>
  <si>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</si>
  <si>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</si>
  <si>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</si>
  <si>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</si>
  <si>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</si>
  <si>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</si>
  <si>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</si>
  <si>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</si>
  <si>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</si>
  <si>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</si>
  <si>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</si>
  <si>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</si>
  <si>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</si>
  <si>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</si>
  <si>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</si>
  <si>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</si>
  <si>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</si>
  <si>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</si>
  <si>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</si>
  <si>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</si>
  <si>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</si>
  <si>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</si>
  <si>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</si>
  <si>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</si>
  <si>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</si>
  <si>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</si>
  <si>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</si>
  <si>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</si>
  <si>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</si>
  <si>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</si>
  <si>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</si>
  <si>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</si>
  <si>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</si>
  <si>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</si>
  <si>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</si>
  <si>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</si>
  <si>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</si>
  <si>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</si>
  <si>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</si>
  <si>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</si>
  <si>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</si>
  <si>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</si>
  <si>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</si>
  <si>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</si>
  <si>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</si>
  <si>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</si>
  <si>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</si>
  <si>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</si>
  <si>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</si>
  <si>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</si>
  <si>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</si>
  <si>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</si>
  <si>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</si>
  <si>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</si>
  <si>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</si>
  <si>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</si>
  <si>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</si>
  <si>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</si>
  <si>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</si>
  <si>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</si>
  <si>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</si>
  <si>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</si>
  <si>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</si>
  <si>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</si>
  <si>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</si>
  <si>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</si>
  <si>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</si>
  <si>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</si>
  <si>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</si>
  <si>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</si>
  <si>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</si>
  <si>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</si>
  <si>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</si>
  <si>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</si>
  <si>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</si>
  <si>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</si>
  <si>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</si>
  <si>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</si>
  <si>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</si>
  <si>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</si>
  <si>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</si>
  <si>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</si>
  <si>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</si>
  <si>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</si>
  <si>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</si>
  <si>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</si>
  <si>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</si>
  <si>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</si>
  <si>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</si>
  <si>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</si>
  <si>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</si>
  <si>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</si>
  <si>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</si>
  <si>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</si>
  <si>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</si>
  <si>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</si>
  <si>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</si>
  <si>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</si>
  <si>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</si>
  <si>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</si>
  <si>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</si>
  <si>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</si>
  <si>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</si>
  <si>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</si>
  <si>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</si>
  <si>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</si>
  <si>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</si>
  <si>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</si>
  <si>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</si>
  <si>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</si>
  <si>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</si>
  <si>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</si>
  <si>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</si>
  <si>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</si>
  <si>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</si>
  <si>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</si>
  <si>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</si>
  <si>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</si>
  <si>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</si>
  <si>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</si>
  <si>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</si>
  <si>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</si>
  <si>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</si>
  <si>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</si>
  <si>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</si>
  <si>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</si>
  <si>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</si>
  <si>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</si>
  <si>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</si>
  <si>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</si>
  <si>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</si>
  <si>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</si>
  <si>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</si>
  <si>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</si>
  <si>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</si>
  <si>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</si>
  <si>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</si>
  <si>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</si>
  <si>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</si>
  <si>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</si>
  <si>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</si>
  <si>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</si>
  <si>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</si>
  <si>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</si>
  <si>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</si>
  <si>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</si>
  <si>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</si>
  <si>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</si>
  <si>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</si>
  <si>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</si>
  <si>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</si>
  <si>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</si>
  <si>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</si>
  <si>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</si>
  <si>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</si>
  <si>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</si>
  <si>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</si>
  <si>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</si>
  <si>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</si>
  <si>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</si>
  <si>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</si>
  <si>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</si>
  <si>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</si>
  <si>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</si>
  <si>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</si>
  <si>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</si>
  <si>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</si>
  <si>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</si>
  <si>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</si>
  <si>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</si>
  <si>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</si>
  <si>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</si>
  <si>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</si>
  <si>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</si>
  <si>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</si>
  <si>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</si>
  <si>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</si>
  <si>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</si>
  <si>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</si>
  <si>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</si>
  <si>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</si>
  <si>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</si>
  <si>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</si>
  <si>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</si>
  <si>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</si>
  <si>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</si>
  <si>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</si>
  <si>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</si>
  <si>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</si>
  <si>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</si>
  <si>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</si>
  <si>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</si>
  <si>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</si>
  <si>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</si>
  <si>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</si>
  <si>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</si>
  <si>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</si>
  <si>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</si>
  <si>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</si>
  <si>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</si>
  <si>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</si>
  <si>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</si>
  <si>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</si>
  <si>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</si>
  <si>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</si>
  <si>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</si>
  <si>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</si>
  <si>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</si>
  <si>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</si>
  <si>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</si>
  <si>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</si>
  <si>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</si>
  <si>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</si>
  <si>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</si>
  <si>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</si>
  <si>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</si>
  <si>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</si>
  <si>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</si>
  <si>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</si>
  <si>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</si>
  <si>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</si>
  <si>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</si>
  <si>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</si>
  <si>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</si>
  <si>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</si>
  <si>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</si>
  <si>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</si>
  <si>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</si>
  <si>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</si>
  <si>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</si>
  <si>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</si>
  <si>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</si>
  <si>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</si>
  <si>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</si>
  <si>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</si>
  <si>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</si>
  <si>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</si>
  <si>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</si>
  <si>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</si>
  <si>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</si>
  <si>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</si>
  <si>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</si>
  <si>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</si>
  <si>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</si>
  <si>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</si>
  <si>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</si>
  <si>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</si>
  <si>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</si>
  <si>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</si>
  <si>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</si>
  <si>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</si>
  <si>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</si>
  <si>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</si>
  <si>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</si>
  <si>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</si>
  <si>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</si>
  <si>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</si>
  <si>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</si>
  <si>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</si>
  <si>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</si>
  <si>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</si>
  <si>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</si>
  <si>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</si>
  <si>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</si>
  <si>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</si>
  <si>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</si>
  <si>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</si>
  <si>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</si>
  <si>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</si>
  <si>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</si>
  <si>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</si>
  <si>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</si>
  <si>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</si>
  <si>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</si>
  <si>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</si>
  <si>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</si>
  <si>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</si>
  <si>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</si>
  <si>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</si>
  <si>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</si>
  <si>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</si>
  <si>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</si>
  <si>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</si>
  <si>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</si>
  <si>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</si>
  <si>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</si>
  <si>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</si>
  <si>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</si>
  <si>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</si>
  <si>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</si>
  <si>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</si>
  <si>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</si>
  <si>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</si>
  <si>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</si>
  <si>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</si>
  <si>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</si>
  <si>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</si>
  <si>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</si>
  <si>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</si>
  <si>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</si>
  <si>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</si>
  <si>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</si>
  <si>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</si>
  <si>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</si>
  <si>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</si>
  <si>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</si>
  <si>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</si>
  <si>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</si>
  <si>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</si>
  <si>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</si>
  <si>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</si>
  <si>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</si>
  <si>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</si>
  <si>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</si>
  <si>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</si>
  <si>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</si>
  <si>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</si>
  <si>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</si>
  <si>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</si>
  <si>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</si>
  <si>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</si>
  <si>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</si>
  <si>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</si>
  <si>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</si>
  <si>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</si>
  <si>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</si>
  <si>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</si>
  <si>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</si>
  <si>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</si>
  <si>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</si>
  <si>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</si>
  <si>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</si>
  <si>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</si>
  <si>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</si>
  <si>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</si>
  <si>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</si>
  <si>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</si>
  <si>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</si>
  <si>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</si>
  <si>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</si>
  <si>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</si>
  <si>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</si>
  <si>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</si>
  <si>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</si>
  <si>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</si>
  <si>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</si>
  <si>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</si>
  <si>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</si>
  <si>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</si>
  <si>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</si>
  <si>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</si>
  <si>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</si>
  <si>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</si>
  <si>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</si>
  <si>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</si>
  <si>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</si>
  <si>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</si>
  <si>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</si>
  <si>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</si>
  <si>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</si>
  <si>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</si>
  <si>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</si>
  <si>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</si>
  <si>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</si>
  <si>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</si>
  <si>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</si>
  <si>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</si>
  <si>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</si>
  <si>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</si>
  <si>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</si>
  <si>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</si>
  <si>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</si>
  <si>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</si>
  <si>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</si>
  <si>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</si>
  <si>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</si>
  <si>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</si>
  <si>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</si>
  <si>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</si>
  <si>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</si>
  <si>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</si>
  <si>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</si>
  <si>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</si>
  <si>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</si>
  <si>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</si>
  <si>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</si>
  <si>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</si>
  <si>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</si>
  <si>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</si>
  <si>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</si>
  <si>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</si>
  <si>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</si>
  <si>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</si>
  <si>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</si>
  <si>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</si>
  <si>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</si>
  <si>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</si>
  <si>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</si>
  <si>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</si>
  <si>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</si>
  <si>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</si>
  <si>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</si>
  <si>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</si>
  <si>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</si>
  <si>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</si>
  <si>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</si>
  <si>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</si>
  <si>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</si>
  <si>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</si>
  <si>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</si>
  <si>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</si>
  <si>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</si>
  <si>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</si>
  <si>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</si>
  <si>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</si>
  <si>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</si>
  <si>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</si>
  <si>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</si>
  <si>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</si>
  <si>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</si>
  <si>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</si>
  <si>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</si>
  <si>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</si>
  <si>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</si>
  <si>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</si>
  <si>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</si>
  <si>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</si>
  <si>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</si>
  <si>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</si>
  <si>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</si>
  <si>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</si>
  <si>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</si>
  <si>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</si>
  <si>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Cinthia Thais de Carvalho Luz Thomazi; Adriana Cuoco Portugal; Fernanda Viana de Souza; Denise Duarte Guirra Kuhlmann;  Priscila Nolasco; Luiz Felipe Tenório de Lima Gondim</t>
  </si>
  <si>
    <t>21/08/2026</t>
  </si>
  <si>
    <t>24/09/2026</t>
  </si>
  <si>
    <t>25/09/2026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</si>
  <si>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</si>
  <si>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</si>
  <si>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</si>
  <si>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</si>
  <si>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</si>
  <si>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</si>
  <si>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</si>
  <si>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</si>
  <si>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</si>
  <si>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</si>
  <si>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</si>
  <si>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</si>
  <si>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</si>
  <si>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</si>
  <si>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</si>
  <si>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</si>
  <si>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</si>
  <si>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</si>
  <si>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</si>
  <si>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</si>
  <si>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</si>
  <si>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</si>
  <si>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</si>
  <si>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</si>
  <si>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</si>
  <si>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</si>
  <si>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</si>
  <si>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</si>
  <si>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</si>
  <si>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</si>
  <si>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</si>
  <si>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</si>
  <si>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</si>
  <si>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</si>
  <si>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</si>
  <si>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</si>
  <si>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</si>
  <si>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</si>
  <si>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</si>
  <si>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</si>
  <si>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</si>
  <si>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</si>
  <si>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</si>
  <si>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</si>
  <si>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</si>
  <si>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</si>
  <si>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</si>
  <si>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</si>
  <si>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</si>
  <si>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</si>
  <si>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</si>
  <si>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</si>
  <si>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</si>
  <si>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</si>
  <si>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</si>
  <si>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</si>
  <si>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</si>
  <si>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</si>
  <si>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</si>
  <si>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</si>
  <si>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</si>
  <si>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</si>
  <si>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</si>
  <si>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</si>
  <si>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</si>
  <si>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</si>
  <si>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</si>
  <si>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</si>
  <si>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</si>
  <si>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</si>
  <si>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</si>
  <si>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</si>
  <si>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</si>
  <si>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</si>
  <si>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</si>
  <si>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</si>
  <si>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</si>
  <si>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</si>
  <si>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</si>
  <si>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</si>
  <si>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</si>
  <si>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</si>
  <si>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</si>
  <si>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</si>
  <si>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</si>
  <si>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</si>
  <si>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</si>
  <si>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</si>
  <si>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</si>
  <si>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</si>
  <si>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</si>
  <si>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</si>
  <si>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</si>
  <si>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</si>
  <si>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</si>
  <si>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</si>
  <si>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</si>
  <si>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</si>
  <si>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</si>
  <si>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</si>
  <si>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</si>
  <si>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</si>
  <si>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</si>
  <si>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</si>
  <si>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</si>
  <si>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</si>
  <si>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</si>
  <si>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</si>
  <si>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</si>
  <si>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</si>
  <si>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</si>
  <si>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</si>
  <si>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</si>
  <si>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</si>
  <si>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</si>
  <si>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</si>
  <si>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</si>
  <si>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</si>
  <si>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</si>
  <si>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</si>
  <si>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</si>
  <si>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</si>
  <si>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</si>
  <si>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</si>
  <si>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</si>
  <si>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</si>
  <si>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</si>
  <si>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</si>
  <si>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</si>
  <si>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</si>
  <si>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</si>
  <si>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</si>
  <si>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</si>
  <si>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</si>
  <si>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</si>
  <si>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</si>
  <si>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</si>
  <si>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</si>
  <si>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</si>
  <si>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</si>
  <si>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Dashboard GECC 2026 - Horas por Instrutor</t>
  </si>
  <si>
    <t>Consulta de horas GECC por instrutor em 2026</t>
  </si>
  <si>
    <t>GECC Examinador (h)</t>
  </si>
  <si>
    <t>Qtd 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</si>
</sst>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opLeftCell="H1" zoomScaleNormal="100" workbookViewId="0">
      <pane ySplit="1" topLeftCell="A703" activePane="bottomLeft" state="frozen"/>
      <selection pane="bottomLeft" activeCell="G711" sqref="G711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2838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46255</v>
      </c>
      <c r="J706" s="222">
        <v>46255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>
        <v>4</v>
      </c>
      <c r="T706" s="43" t="s">
        <v>2838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2840</v>
      </c>
      <c r="I707" s="213">
        <v>46289</v>
      </c>
      <c r="J707" s="213">
        <v>46289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>
        <v>4</v>
      </c>
      <c r="T707" s="43" t="s">
        <v>2838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2841</v>
      </c>
      <c r="I708" s="222">
        <v>46290</v>
      </c>
      <c r="J708" s="222">
        <v>46290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>
        <v>4</v>
      </c>
      <c r="T708" s="43" t="s">
        <v>2838</v>
      </c>
    </row>
    <row r="709" spans="1:20" ht="23.25" customHeight="1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2842</v>
      </c>
      <c r="E709" s="210" t="s">
        <v>2843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>
      <c r="A710" s="217" t="str">
        <f>IF(B710="","",B710&amp;"-"&amp;TEXT(COUNTIF(B$2:B710,B710),"000"))</f>
        <v>2026-054</v>
      </c>
      <c r="B710" s="218">
        <v>2026</v>
      </c>
      <c r="C710" s="218" t="s">
        <v>2765</v>
      </c>
      <c r="D710" s="218" t="s">
        <v>2844</v>
      </c>
      <c r="E710" s="210" t="s">
        <v>2845</v>
      </c>
      <c r="F710" s="220" t="s">
        <v>62</v>
      </c>
      <c r="G710" s="217" t="s">
        <v>72</v>
      </c>
      <c r="H710" s="221" t="s">
        <v>2816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2846</v>
      </c>
    </row>
    <row r="711" spans="1:20" ht="23.25" customHeight="1">
      <c r="A711" s="208" t="str">
        <f>IF(B711="","",B711&amp;"-"&amp;TEXT(COUNTIF(B$2:B711,B711),"000"))</f>
        <v>2026-055</v>
      </c>
      <c r="B711" s="209">
        <v>2026</v>
      </c>
      <c r="C711" s="218" t="s">
        <v>2765</v>
      </c>
      <c r="D711" s="209" t="s">
        <v>2739</v>
      </c>
      <c r="E711" s="210" t="s">
        <v>2836</v>
      </c>
      <c r="F711" s="211" t="s">
        <v>81</v>
      </c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>
        <f t="shared" si="14"/>
        <v>0</v>
      </c>
      <c r="S711" s="209"/>
      <c r="T711" s="208"/>
    </row>
    <row r="712" spans="1:20" ht="23.25" customHeight="1">
      <c r="A712" s="217" t="str">
        <f>IF(B712="","",B712&amp;"-"&amp;TEXT(COUNTIF(B$2:B712,B712),"000"))</f>
        <v>2026-056</v>
      </c>
      <c r="B712" s="218">
        <v>2026</v>
      </c>
      <c r="C712" s="218" t="s">
        <v>2765</v>
      </c>
      <c r="D712" s="218" t="s">
        <v>2739</v>
      </c>
      <c r="E712" s="210" t="s">
        <v>2836</v>
      </c>
      <c r="F712" s="220" t="s">
        <v>81</v>
      </c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>
        <f t="shared" si="14"/>
        <v>0</v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77" activePane="bottomLeft" state="frozen"/>
      <selection pane="bottomLeft" activeCell="D83" sqref="D83"/>
    </sheetView>
  </sheetViews>
  <sheetFormatPr defaultRowHeight="15" outlineLevelCol="1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>
      <c r="A1" s="96" t="s">
        <v>1</v>
      </c>
      <c r="B1" s="96" t="s">
        <v>2847</v>
      </c>
      <c r="C1" s="96" t="s">
        <v>2848</v>
      </c>
      <c r="D1" s="96" t="s">
        <v>4</v>
      </c>
      <c r="E1" s="96" t="s">
        <v>2849</v>
      </c>
      <c r="F1" s="96" t="s">
        <v>19</v>
      </c>
      <c r="G1" s="96" t="s">
        <v>2850</v>
      </c>
      <c r="H1" s="96" t="s">
        <v>2851</v>
      </c>
      <c r="I1" s="96" t="s">
        <v>2852</v>
      </c>
      <c r="J1" s="96" t="s">
        <v>2853</v>
      </c>
      <c r="L1" s="129" t="s">
        <v>2854</v>
      </c>
      <c r="M1" s="100">
        <v>2026</v>
      </c>
      <c r="U1" s="162" t="s">
        <v>2855</v>
      </c>
      <c r="V1" s="161"/>
      <c r="X1" s="159" t="s">
        <v>2856</v>
      </c>
      <c r="Y1" s="107"/>
      <c r="Z1" s="107"/>
      <c r="AA1" s="107"/>
      <c r="AC1" s="253" t="s">
        <v>2857</v>
      </c>
    </row>
    <row r="2" spans="1:31">
      <c r="A2" s="98" cm="1">
        <f t="array" ref="A2:J107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2847</v>
      </c>
      <c r="Y2" s="160" t="s">
        <v>19</v>
      </c>
      <c r="Z2" s="160" t="s">
        <v>2858</v>
      </c>
      <c r="AA2" s="160" t="s">
        <v>2859</v>
      </c>
      <c r="AC2" s="254" t="s">
        <v>1</v>
      </c>
      <c r="AD2" s="254" t="s">
        <v>2860</v>
      </c>
      <c r="AE2" s="254" t="s">
        <v>2861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2862</v>
      </c>
      <c r="M3" s="19" t="s">
        <v>2863</v>
      </c>
      <c r="N3" s="19" t="s">
        <v>2864</v>
      </c>
      <c r="O3" s="19" t="s">
        <v>2865</v>
      </c>
      <c r="P3" s="19" t="s">
        <v>2866</v>
      </c>
      <c r="Q3" s="19" t="s">
        <v>2867</v>
      </c>
      <c r="R3" s="19" t="s">
        <v>2868</v>
      </c>
      <c r="S3" s="19" t="s">
        <v>2869</v>
      </c>
      <c r="T3" s="19" t="s">
        <v>2870</v>
      </c>
      <c r="X3" t="s">
        <v>2871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5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6">_xlfn.VSTACK(0,_xlfn._xlws.FILTER(S4:S200,S4:S200&lt;&gt;""))</f>
        <v>0</v>
      </c>
      <c r="X4" t="s">
        <v>2872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2873</v>
      </c>
      <c r="Y5" t="s">
        <v>2713</v>
      </c>
      <c r="Z5">
        <v>1</v>
      </c>
      <c r="AA5">
        <v>0.6</v>
      </c>
      <c r="AC5" s="248">
        <v>2026</v>
      </c>
      <c r="AD5" s="95" t="s">
        <v>2874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2873</v>
      </c>
      <c r="Y6" t="s">
        <v>2875</v>
      </c>
      <c r="Z6">
        <v>1</v>
      </c>
      <c r="AA6">
        <v>0</v>
      </c>
      <c r="AC6" s="248">
        <v>2026</v>
      </c>
      <c r="AD6" s="95" t="s">
        <v>2876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2878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2878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2878</v>
      </c>
      <c r="Y11" s="95" t="s">
        <v>2879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2878</v>
      </c>
      <c r="Y12" s="95" t="s">
        <v>2880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2881</v>
      </c>
      <c r="Y16" s="95" t="s">
        <v>2879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2881</v>
      </c>
      <c r="Y17" s="95" t="s">
        <v>2880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2882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2882</v>
      </c>
      <c r="Y21" s="95" t="s">
        <v>2879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2882</v>
      </c>
      <c r="Y22" s="95" t="s">
        <v>2880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2883</v>
      </c>
      <c r="Y24" s="95" t="s">
        <v>2875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2884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2884</v>
      </c>
      <c r="Y26" s="95" t="s">
        <v>2885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2886</v>
      </c>
      <c r="Y28" s="95" t="s">
        <v>2875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2887</v>
      </c>
      <c r="Y30" s="95" t="s">
        <v>2875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2889</v>
      </c>
      <c r="Y33" t="s">
        <v>2890</v>
      </c>
      <c r="Z33">
        <v>4</v>
      </c>
      <c r="AA33">
        <v>0.6</v>
      </c>
      <c r="AC33" s="250"/>
      <c r="AD33" s="251" t="s">
        <v>2891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2889</v>
      </c>
      <c r="Y34" t="s">
        <v>2892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2889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2889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2893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2893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2894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2895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2896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4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2896</v>
      </c>
      <c r="Y42" t="s">
        <v>2846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4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2897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4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2897</v>
      </c>
      <c r="Y44" s="95" t="s">
        <v>2875</v>
      </c>
      <c r="AA44">
        <v>0</v>
      </c>
    </row>
    <row r="45" spans="1:31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106</v>
      </c>
      <c r="T45">
        <v>105</v>
      </c>
      <c r="X45" t="s">
        <v>2898</v>
      </c>
      <c r="Y45" t="s">
        <v>2899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T46">
        <v>106</v>
      </c>
      <c r="X46" t="s">
        <v>2898</v>
      </c>
      <c r="Y46" t="s">
        <v>2900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2898</v>
      </c>
      <c r="Y47" t="s">
        <v>2901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2898</v>
      </c>
      <c r="Y48" t="s">
        <v>2902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2898</v>
      </c>
      <c r="Y49" t="s">
        <v>2903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2898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2898</v>
      </c>
      <c r="Y51" t="s">
        <v>2904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2898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2898</v>
      </c>
      <c r="Y53" t="s">
        <v>2905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2898</v>
      </c>
      <c r="Y54" t="s">
        <v>2906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Cinthia Thais de Carvalho Luz Thomazi</v>
      </c>
      <c r="G83">
        <v>6</v>
      </c>
      <c r="H83">
        <v>4</v>
      </c>
      <c r="I83">
        <v>0.19999999999999998</v>
      </c>
      <c r="J83">
        <v>4.2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Adriana Cuoco Portugal</v>
      </c>
      <c r="G84">
        <v>6</v>
      </c>
      <c r="H84">
        <v>4</v>
      </c>
      <c r="I84">
        <v>0.19999999999999998</v>
      </c>
      <c r="J84">
        <v>4.2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6</v>
      </c>
      <c r="H85">
        <v>4</v>
      </c>
      <c r="I85">
        <v>0.19999999999999998</v>
      </c>
      <c r="J85">
        <v>4.2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Denise Duarte Guirra Kuhlmann</v>
      </c>
      <c r="G86">
        <v>6</v>
      </c>
      <c r="H86">
        <v>4</v>
      </c>
      <c r="I86">
        <v>0.19999999999999998</v>
      </c>
      <c r="J86">
        <v>4.2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</v>
      </c>
      <c r="G87">
        <v>6</v>
      </c>
      <c r="H87">
        <v>4</v>
      </c>
      <c r="I87">
        <v>0.19999999999999998</v>
      </c>
      <c r="J87">
        <v>4.2</v>
      </c>
      <c r="R87" t="str">
        <v/>
      </c>
      <c r="S87" t="str">
        <v/>
      </c>
    </row>
    <row r="88" spans="1:19">
      <c r="A88">
        <v>2026</v>
      </c>
      <c r="B88" t="str">
        <v>2026-049</v>
      </c>
      <c r="C88" t="str">
        <v>A realizar</v>
      </c>
      <c r="D88" t="str">
        <v>TCendo o Futuro</v>
      </c>
      <c r="E88">
        <v>4</v>
      </c>
      <c r="F88" t="str">
        <v>Luiz Felipe Tenório de Lima Gondim</v>
      </c>
      <c r="G88">
        <v>6</v>
      </c>
      <c r="H88">
        <v>4</v>
      </c>
      <c r="I88">
        <v>0.19999999999999998</v>
      </c>
      <c r="J88">
        <v>4.2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4</v>
      </c>
      <c r="F89" t="str">
        <v>Cinthia Thais de Carvalho Luz Thomazi</v>
      </c>
      <c r="G89">
        <v>6</v>
      </c>
      <c r="H89">
        <v>4</v>
      </c>
      <c r="I89">
        <v>0.19999999999999998</v>
      </c>
      <c r="J89">
        <v>4.2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4</v>
      </c>
      <c r="F90" t="str">
        <v>Adriana Cuoco Portugal</v>
      </c>
      <c r="G90">
        <v>6</v>
      </c>
      <c r="H90">
        <v>4</v>
      </c>
      <c r="I90">
        <v>0.19999999999999998</v>
      </c>
      <c r="J90">
        <v>4.2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4</v>
      </c>
      <c r="F91" t="str">
        <v>Fernanda Viana de Souza</v>
      </c>
      <c r="G91">
        <v>6</v>
      </c>
      <c r="H91">
        <v>4</v>
      </c>
      <c r="I91">
        <v>0.19999999999999998</v>
      </c>
      <c r="J91">
        <v>4.2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4</v>
      </c>
      <c r="F92" t="str">
        <v>Denise Duarte Guirra Kuhlmann</v>
      </c>
      <c r="G92">
        <v>6</v>
      </c>
      <c r="H92">
        <v>4</v>
      </c>
      <c r="I92">
        <v>0.19999999999999998</v>
      </c>
      <c r="J92">
        <v>4.2</v>
      </c>
      <c r="R92" t="str">
        <v/>
      </c>
      <c r="S92" t="str">
        <v/>
      </c>
    </row>
    <row r="93" spans="1:19">
      <c r="A93">
        <v>2026</v>
      </c>
      <c r="B93" t="str">
        <v>2026-050</v>
      </c>
      <c r="C93" t="str">
        <v>A realizar</v>
      </c>
      <c r="D93" t="str">
        <v>TCendo o Futuro</v>
      </c>
      <c r="E93">
        <v>4</v>
      </c>
      <c r="F93" t="str">
        <v>Priscila Nolasco</v>
      </c>
      <c r="G93">
        <v>6</v>
      </c>
      <c r="H93">
        <v>4</v>
      </c>
      <c r="I93">
        <v>0.19999999999999998</v>
      </c>
      <c r="J93">
        <v>4.2</v>
      </c>
      <c r="R93" t="str">
        <v/>
      </c>
      <c r="S93" t="str">
        <v/>
      </c>
    </row>
    <row r="94" spans="1:19">
      <c r="A94">
        <v>2026</v>
      </c>
      <c r="B94" t="str">
        <v>2026-050</v>
      </c>
      <c r="C94" t="str">
        <v>A realizar</v>
      </c>
      <c r="D94" t="str">
        <v>TCendo o Futuro</v>
      </c>
      <c r="E94">
        <v>4</v>
      </c>
      <c r="F94" t="str">
        <v>Luiz Felipe Tenório de Lima Gondim</v>
      </c>
      <c r="G94">
        <v>6</v>
      </c>
      <c r="H94">
        <v>4</v>
      </c>
      <c r="I94">
        <v>0.19999999999999998</v>
      </c>
      <c r="J94">
        <v>4.2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4</v>
      </c>
      <c r="F95" t="str">
        <v>Cinthia Thais de Carvalho Luz Thomazi</v>
      </c>
      <c r="G95">
        <v>6</v>
      </c>
      <c r="H95">
        <v>4</v>
      </c>
      <c r="I95">
        <v>0.19999999999999998</v>
      </c>
      <c r="J95">
        <v>4.2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4</v>
      </c>
      <c r="F96" t="str">
        <v>Adriana Cuoco Portugal</v>
      </c>
      <c r="G96">
        <v>6</v>
      </c>
      <c r="H96">
        <v>4</v>
      </c>
      <c r="I96">
        <v>0.19999999999999998</v>
      </c>
      <c r="J96">
        <v>4.2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4</v>
      </c>
      <c r="F97" t="str">
        <v>Fernanda Viana de Souza</v>
      </c>
      <c r="G97">
        <v>6</v>
      </c>
      <c r="H97">
        <v>4</v>
      </c>
      <c r="I97">
        <v>0.19999999999999998</v>
      </c>
      <c r="J97">
        <v>4.2</v>
      </c>
      <c r="R97" t="str">
        <v/>
      </c>
      <c r="S97" t="str">
        <v/>
      </c>
    </row>
    <row r="98" spans="1:19">
      <c r="A98">
        <v>2026</v>
      </c>
      <c r="B98" t="str">
        <v>2026-051</v>
      </c>
      <c r="C98" t="str">
        <v>A realizar</v>
      </c>
      <c r="D98" t="str">
        <v>TCendo o Futuro</v>
      </c>
      <c r="E98">
        <v>4</v>
      </c>
      <c r="F98" t="str">
        <v>Denise Duarte Guirra Kuhlmann</v>
      </c>
      <c r="G98">
        <v>6</v>
      </c>
      <c r="H98">
        <v>4</v>
      </c>
      <c r="I98">
        <v>0.19999999999999998</v>
      </c>
      <c r="J98">
        <v>4.2</v>
      </c>
      <c r="R98" t="str">
        <v/>
      </c>
      <c r="S98" t="str">
        <v/>
      </c>
    </row>
    <row r="99" spans="1:19">
      <c r="A99">
        <v>2026</v>
      </c>
      <c r="B99" t="str">
        <v>2026-051</v>
      </c>
      <c r="C99" t="str">
        <v>A realizar</v>
      </c>
      <c r="D99" t="str">
        <v>TCendo o Futuro</v>
      </c>
      <c r="E99">
        <v>4</v>
      </c>
      <c r="F99" t="str">
        <v>Priscila Nolasco</v>
      </c>
      <c r="G99">
        <v>6</v>
      </c>
      <c r="H99">
        <v>4</v>
      </c>
      <c r="I99">
        <v>0.19999999999999998</v>
      </c>
      <c r="J99">
        <v>4.2</v>
      </c>
      <c r="R99" t="str">
        <v/>
      </c>
      <c r="S99" t="str">
        <v/>
      </c>
    </row>
    <row r="100" spans="1:19">
      <c r="A100">
        <v>2026</v>
      </c>
      <c r="B100" t="str">
        <v>2026-051</v>
      </c>
      <c r="C100" t="str">
        <v>A realizar</v>
      </c>
      <c r="D100" t="str">
        <v>TCendo o Futuro</v>
      </c>
      <c r="E100">
        <v>4</v>
      </c>
      <c r="F100" t="str">
        <v>Luiz Felipe Tenório de Lima Gondim</v>
      </c>
      <c r="G100">
        <v>6</v>
      </c>
      <c r="H100">
        <v>4</v>
      </c>
      <c r="I100">
        <v>0.19999999999999998</v>
      </c>
      <c r="J100">
        <v>4.2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4</v>
      </c>
      <c r="F101" t="str">
        <v>Cinthia Thais de Carvalho Luz Thomazi</v>
      </c>
      <c r="G101">
        <v>6</v>
      </c>
      <c r="H101">
        <v>4</v>
      </c>
      <c r="I101">
        <v>0.19999999999999998</v>
      </c>
      <c r="J101">
        <v>4.2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4</v>
      </c>
      <c r="F102" t="str">
        <v>Adriana Cuoco Portugal</v>
      </c>
      <c r="G102">
        <v>6</v>
      </c>
      <c r="H102">
        <v>4</v>
      </c>
      <c r="I102">
        <v>0.19999999999999998</v>
      </c>
      <c r="J102">
        <v>4.2</v>
      </c>
      <c r="R102" t="str">
        <v/>
      </c>
      <c r="S102" t="str">
        <v/>
      </c>
    </row>
    <row r="103" spans="1:19">
      <c r="A103">
        <v>2026</v>
      </c>
      <c r="B103" t="str">
        <v>2026-052</v>
      </c>
      <c r="C103" t="str">
        <v>A realizar</v>
      </c>
      <c r="D103" t="str">
        <v>TCendo o Futuro</v>
      </c>
      <c r="E103">
        <v>4</v>
      </c>
      <c r="F103" t="str">
        <v>Fernanda Viana de Souza</v>
      </c>
      <c r="G103">
        <v>6</v>
      </c>
      <c r="H103">
        <v>4</v>
      </c>
      <c r="I103">
        <v>0.19999999999999998</v>
      </c>
      <c r="J103">
        <v>4.2</v>
      </c>
      <c r="R103" t="str">
        <v/>
      </c>
      <c r="S103" t="str">
        <v/>
      </c>
    </row>
    <row r="104" spans="1:19">
      <c r="A104">
        <v>2026</v>
      </c>
      <c r="B104" t="str">
        <v>2026-052</v>
      </c>
      <c r="C104" t="str">
        <v>A realizar</v>
      </c>
      <c r="D104" t="str">
        <v>TCendo o Futuro</v>
      </c>
      <c r="E104">
        <v>4</v>
      </c>
      <c r="F104" t="str">
        <v>Denise Duarte Guirra Kuhlmann</v>
      </c>
      <c r="G104">
        <v>6</v>
      </c>
      <c r="H104">
        <v>4</v>
      </c>
      <c r="I104">
        <v>0.19999999999999998</v>
      </c>
      <c r="J104">
        <v>4.2</v>
      </c>
      <c r="R104" t="str">
        <v/>
      </c>
      <c r="S104" t="str">
        <v/>
      </c>
    </row>
    <row r="105" spans="1:19">
      <c r="A105">
        <v>2026</v>
      </c>
      <c r="B105" t="str">
        <v>2026-052</v>
      </c>
      <c r="C105" t="str">
        <v>A realizar</v>
      </c>
      <c r="D105" t="str">
        <v>TCendo o Futuro</v>
      </c>
      <c r="E105">
        <v>4</v>
      </c>
      <c r="F105" t="str">
        <v>Priscila Nolasco</v>
      </c>
      <c r="G105">
        <v>6</v>
      </c>
      <c r="H105">
        <v>4</v>
      </c>
      <c r="I105">
        <v>0.19999999999999998</v>
      </c>
      <c r="J105">
        <v>4.2</v>
      </c>
      <c r="R105" t="str">
        <v/>
      </c>
      <c r="S105" t="str">
        <v/>
      </c>
    </row>
    <row r="106" spans="1:19">
      <c r="A106">
        <v>2026</v>
      </c>
      <c r="B106" t="str">
        <v>2026-052</v>
      </c>
      <c r="C106" t="str">
        <v>A realizar</v>
      </c>
      <c r="D106" t="str">
        <v>TCendo o Futuro</v>
      </c>
      <c r="E106">
        <v>4</v>
      </c>
      <c r="F106" t="str">
        <v>Luiz Felipe Tenório de Lima Gondim</v>
      </c>
      <c r="G106">
        <v>6</v>
      </c>
      <c r="H106">
        <v>4</v>
      </c>
      <c r="I106">
        <v>0.19999999999999998</v>
      </c>
      <c r="J106">
        <v>4.2</v>
      </c>
      <c r="R106" t="str">
        <v/>
      </c>
      <c r="S106" t="str">
        <v/>
      </c>
    </row>
    <row r="107" spans="1:19">
      <c r="A107">
        <v>2026</v>
      </c>
      <c r="B107" t="str">
        <v>2026-054</v>
      </c>
      <c r="C107" t="str">
        <v>A realizar</v>
      </c>
      <c r="D107" t="str">
        <v>Oficina Temática – SEMAT: Falhas recorrentes em contratações de TI</v>
      </c>
      <c r="E107">
        <v>8</v>
      </c>
      <c r="F107" t="str">
        <v>Felipe da Costa Malaquias</v>
      </c>
      <c r="G107">
        <v>1</v>
      </c>
      <c r="H107">
        <v>8</v>
      </c>
      <c r="I107">
        <v>2.4</v>
      </c>
      <c r="J107">
        <v>10.4</v>
      </c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80" t="s">
        <v>2907</v>
      </c>
      <c r="B1" s="280"/>
      <c r="C1" s="280"/>
      <c r="D1" s="280"/>
      <c r="E1" s="280"/>
      <c r="F1" s="280"/>
      <c r="G1" s="280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81" t="s">
        <v>2908</v>
      </c>
      <c r="B4" s="282"/>
      <c r="D4" s="283" t="s">
        <v>2909</v>
      </c>
      <c r="E4" s="284"/>
      <c r="G4" s="125" t="s">
        <v>2910</v>
      </c>
    </row>
    <row r="5" spans="1:7" ht="54.95" customHeight="1" thickBot="1">
      <c r="A5" s="115">
        <f>COUNTIF('Ações InCompany'!B:B,2026)</f>
        <v>56</v>
      </c>
      <c r="B5" s="116" t="s">
        <v>2911</v>
      </c>
      <c r="D5" s="123">
        <f>COUNTIFS('Ações InCompany'!B:B,2026,'Ações InCompany'!C:C,"Realizado")</f>
        <v>32</v>
      </c>
      <c r="E5" s="124" t="s">
        <v>2911</v>
      </c>
      <c r="G5" s="126">
        <f>COUNTIFS('Ações InCompany'!B:B,2026,'Ações InCompany'!C:C,"A realizar")</f>
        <v>18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9" t="s">
        <v>2912</v>
      </c>
      <c r="B8" s="279"/>
      <c r="D8" s="279" t="s">
        <v>2913</v>
      </c>
      <c r="E8" s="279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2914</v>
      </c>
      <c r="D10" s="108" t="s">
        <v>2915</v>
      </c>
      <c r="E10" s="108" t="s">
        <v>2916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2917</v>
      </c>
      <c r="E11" s="110">
        <f>SUMIFS('Ações InCompany'!O:O,'Ações InCompany'!B:B,2026,'Ações InCompany'!C:C,"Realizado")</f>
        <v>502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2918</v>
      </c>
      <c r="E12" s="112">
        <f>SUMIFS('Ações InCompany'!P:P,'Ações InCompany'!B:B,2026,'Ações InCompany'!C:C,"Realizado")</f>
        <v>561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2919</v>
      </c>
      <c r="E13" s="110">
        <f>SUMIFS('Ações InCompany'!Q:Q,'Ações InCompany'!B:B,2026,'Ações InCompany'!C:C,"Realizado")</f>
        <v>411</v>
      </c>
    </row>
    <row r="14" spans="1:7" ht="27.95" customHeight="1">
      <c r="A14" s="113" t="s">
        <v>2920</v>
      </c>
      <c r="B14" s="114">
        <f>SUM(B11:B13)</f>
        <v>32</v>
      </c>
      <c r="D14" s="113" t="s">
        <v>2921</v>
      </c>
      <c r="E14" s="114">
        <f>SUM(E11:E13)</f>
        <v>1474</v>
      </c>
    </row>
    <row r="30" spans="1:5" ht="17.25">
      <c r="A30" s="279" t="s">
        <v>2922</v>
      </c>
      <c r="B30" s="279"/>
      <c r="C30" s="279"/>
      <c r="D30" s="279"/>
      <c r="E30" s="279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2923</v>
      </c>
      <c r="C32" s="108" t="s">
        <v>2924</v>
      </c>
      <c r="D32" s="108" t="s">
        <v>2925</v>
      </c>
      <c r="E32" s="108" t="s">
        <v>2926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0.22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0.06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0.12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0.02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0.04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5</v>
      </c>
      <c r="D38" s="119">
        <f t="shared" si="0"/>
        <v>10</v>
      </c>
      <c r="E38" s="120">
        <f t="shared" si="1"/>
        <v>0.2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0.08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0.04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0.14000000000000001</v>
      </c>
    </row>
    <row r="42" spans="1:5" ht="24" customHeight="1">
      <c r="A42" s="156" t="s">
        <v>2927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0.04</v>
      </c>
    </row>
    <row r="44" spans="1:5" ht="24" customHeight="1">
      <c r="A44" s="148" t="s">
        <v>2928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2</v>
      </c>
      <c r="D44" s="149">
        <f t="shared" si="0"/>
        <v>2</v>
      </c>
      <c r="E44" s="150">
        <f t="shared" si="1"/>
        <v>0.04</v>
      </c>
    </row>
    <row r="45" spans="1:5" ht="24" customHeight="1">
      <c r="A45" s="113" t="s">
        <v>2920</v>
      </c>
      <c r="B45" s="121">
        <f>SUM(B33:B44)</f>
        <v>32</v>
      </c>
      <c r="C45" s="121">
        <f>SUM(C33:C44)</f>
        <v>18</v>
      </c>
      <c r="D45" s="121">
        <f>SUM(D33:D44)</f>
        <v>50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>
      <c r="A2" s="12" t="s">
        <v>2934</v>
      </c>
      <c r="B2" s="12" t="s">
        <v>2935</v>
      </c>
      <c r="C2" s="12" t="s">
        <v>1729</v>
      </c>
      <c r="D2" s="12" t="s">
        <v>2936</v>
      </c>
      <c r="E2" s="12" t="s">
        <v>2937</v>
      </c>
    </row>
    <row r="3" spans="1:5" ht="18" customHeight="1">
      <c r="A3" s="12" t="s">
        <v>2934</v>
      </c>
      <c r="B3" s="12" t="s">
        <v>2935</v>
      </c>
      <c r="C3" s="14" t="s">
        <v>24</v>
      </c>
      <c r="D3" s="12" t="s">
        <v>2938</v>
      </c>
      <c r="E3" s="12" t="s">
        <v>2939</v>
      </c>
    </row>
    <row r="4" spans="1:5" ht="18" customHeight="1">
      <c r="A4" s="12" t="s">
        <v>2934</v>
      </c>
      <c r="B4" s="12" t="s">
        <v>2935</v>
      </c>
      <c r="C4" s="12" t="s">
        <v>68</v>
      </c>
      <c r="D4" s="12" t="s">
        <v>2936</v>
      </c>
      <c r="E4" s="12" t="s">
        <v>2940</v>
      </c>
    </row>
    <row r="5" spans="1:5" ht="18" customHeight="1">
      <c r="A5" s="12" t="s">
        <v>2934</v>
      </c>
      <c r="B5" s="12" t="s">
        <v>2935</v>
      </c>
      <c r="C5" s="12" t="s">
        <v>72</v>
      </c>
      <c r="D5" s="12" t="s">
        <v>2941</v>
      </c>
      <c r="E5" s="12" t="s">
        <v>2942</v>
      </c>
    </row>
    <row r="6" spans="1:5" ht="18" customHeight="1">
      <c r="A6" s="12" t="s">
        <v>2934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>
      <c r="A7" s="12" t="s">
        <v>2934</v>
      </c>
      <c r="B7" s="12" t="s">
        <v>2945</v>
      </c>
      <c r="C7" s="12" t="s">
        <v>33</v>
      </c>
      <c r="D7" s="12" t="s">
        <v>2946</v>
      </c>
      <c r="E7" s="12" t="s">
        <v>2947</v>
      </c>
    </row>
    <row r="8" spans="1:5" ht="18" customHeight="1">
      <c r="A8" s="12" t="s">
        <v>2934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>
      <c r="A9" s="12" t="s">
        <v>2934</v>
      </c>
      <c r="B9" s="12" t="s">
        <v>2950</v>
      </c>
      <c r="C9" s="12" t="s">
        <v>457</v>
      </c>
      <c r="D9" s="12" t="s">
        <v>2951</v>
      </c>
      <c r="E9" s="12" t="s">
        <v>2952</v>
      </c>
    </row>
    <row r="10" spans="1:5" ht="18" customHeight="1">
      <c r="A10" s="12" t="s">
        <v>2934</v>
      </c>
      <c r="B10" s="12" t="s">
        <v>2950</v>
      </c>
      <c r="C10" s="12" t="s">
        <v>199</v>
      </c>
      <c r="D10" s="12" t="s">
        <v>23</v>
      </c>
      <c r="E10" s="12" t="s">
        <v>2953</v>
      </c>
    </row>
    <row r="11" spans="1:5" ht="18" customHeight="1">
      <c r="A11" s="12" t="s">
        <v>2934</v>
      </c>
      <c r="B11" s="12" t="s">
        <v>2950</v>
      </c>
      <c r="C11" s="12" t="s">
        <v>364</v>
      </c>
      <c r="D11" s="12" t="s">
        <v>23</v>
      </c>
      <c r="E11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2955</v>
      </c>
      <c r="B1" s="5" t="s">
        <v>10</v>
      </c>
      <c r="C1" s="15" t="s">
        <v>2956</v>
      </c>
      <c r="D1" s="15" t="s">
        <v>2848</v>
      </c>
    </row>
    <row r="2" spans="1:4" ht="21" customHeight="1">
      <c r="A2" s="258" t="s">
        <v>23</v>
      </c>
      <c r="B2" s="258" t="s">
        <v>35</v>
      </c>
      <c r="C2" s="12" t="s">
        <v>2957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2958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>
      <c r="A2" s="12" t="s">
        <v>2959</v>
      </c>
      <c r="B2" s="12" t="s">
        <v>2935</v>
      </c>
      <c r="C2" s="14" t="s">
        <v>24</v>
      </c>
      <c r="D2" s="12" t="s">
        <v>2936</v>
      </c>
      <c r="E2" s="18" t="s">
        <v>2960</v>
      </c>
    </row>
    <row r="3" spans="1:5" ht="18" customHeight="1">
      <c r="A3" s="12" t="s">
        <v>2959</v>
      </c>
      <c r="B3" s="12" t="s">
        <v>2935</v>
      </c>
      <c r="C3" s="12" t="s">
        <v>68</v>
      </c>
      <c r="D3" s="12" t="s">
        <v>2938</v>
      </c>
      <c r="E3" s="12" t="s">
        <v>2961</v>
      </c>
    </row>
    <row r="4" spans="1:5" ht="18" customHeight="1">
      <c r="A4" s="12" t="s">
        <v>2959</v>
      </c>
      <c r="B4" s="12" t="s">
        <v>2935</v>
      </c>
      <c r="C4" s="12" t="s">
        <v>72</v>
      </c>
      <c r="D4" s="12" t="s">
        <v>2941</v>
      </c>
      <c r="E4" s="12" t="s">
        <v>2962</v>
      </c>
    </row>
    <row r="5" spans="1:5" ht="27.75" customHeight="1">
      <c r="A5" s="12" t="s">
        <v>2959</v>
      </c>
      <c r="B5" s="12" t="s">
        <v>2935</v>
      </c>
      <c r="C5" s="12" t="s">
        <v>2690</v>
      </c>
      <c r="D5" s="18" t="s">
        <v>2963</v>
      </c>
      <c r="E5" s="12" t="s">
        <v>2964</v>
      </c>
    </row>
    <row r="6" spans="1:5" ht="18" customHeight="1">
      <c r="A6" s="12" t="s">
        <v>2959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>
      <c r="A7" s="12" t="s">
        <v>2959</v>
      </c>
      <c r="B7" s="12" t="s">
        <v>2945</v>
      </c>
      <c r="C7" s="12" t="s">
        <v>2711</v>
      </c>
      <c r="D7" s="12" t="s">
        <v>2965</v>
      </c>
      <c r="E7" s="12" t="s">
        <v>2966</v>
      </c>
    </row>
    <row r="8" spans="1:5" ht="18" customHeight="1">
      <c r="A8" s="12" t="s">
        <v>2959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>
      <c r="A9" s="12" t="s">
        <v>2959</v>
      </c>
      <c r="B9" s="12" t="s">
        <v>2945</v>
      </c>
      <c r="C9" s="12" t="s">
        <v>2695</v>
      </c>
      <c r="D9" s="12" t="s">
        <v>2967</v>
      </c>
      <c r="E9" s="18" t="s">
        <v>2968</v>
      </c>
    </row>
    <row r="10" spans="1:5" ht="18" customHeight="1">
      <c r="A10" s="12" t="s">
        <v>2959</v>
      </c>
      <c r="B10" s="12" t="s">
        <v>2969</v>
      </c>
      <c r="C10" s="12" t="s">
        <v>2927</v>
      </c>
      <c r="D10" s="12" t="s">
        <v>2970</v>
      </c>
      <c r="E10" s="18" t="s">
        <v>2971</v>
      </c>
    </row>
    <row r="11" spans="1:5" ht="18" customHeight="1">
      <c r="A11" s="12" t="s">
        <v>2959</v>
      </c>
      <c r="B11" s="12" t="s">
        <v>2969</v>
      </c>
      <c r="C11" s="12" t="s">
        <v>199</v>
      </c>
      <c r="D11" s="12" t="s">
        <v>23</v>
      </c>
      <c r="E11" s="12" t="s">
        <v>2953</v>
      </c>
    </row>
    <row r="12" spans="1:5" ht="18" customHeight="1">
      <c r="A12" s="12" t="s">
        <v>2959</v>
      </c>
      <c r="B12" s="12" t="s">
        <v>2969</v>
      </c>
      <c r="C12" s="12" t="s">
        <v>364</v>
      </c>
      <c r="D12" s="12" t="s">
        <v>23</v>
      </c>
      <c r="E12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5" t="s">
        <v>2972</v>
      </c>
      <c r="B1" s="285"/>
      <c r="C1" s="285"/>
      <c r="D1" s="285"/>
      <c r="E1" s="285"/>
      <c r="F1" s="285"/>
      <c r="G1" s="285"/>
      <c r="H1" s="285"/>
    </row>
    <row r="2" spans="1:8">
      <c r="A2" s="130" t="s">
        <v>2973</v>
      </c>
    </row>
    <row r="4" spans="1:8" ht="21.95" customHeight="1">
      <c r="A4" s="286" t="s">
        <v>2974</v>
      </c>
      <c r="B4" s="287"/>
      <c r="D4" s="286" t="s">
        <v>2975</v>
      </c>
      <c r="E4" s="287"/>
      <c r="G4" s="286" t="s">
        <v>2976</v>
      </c>
      <c r="H4" s="287"/>
    </row>
    <row r="5" spans="1:8" ht="35.1" customHeight="1">
      <c r="A5" s="290">
        <f>COUNTIF('Ações InCompany'!E:E,"*maratona*")</f>
        <v>13</v>
      </c>
      <c r="B5" s="289"/>
      <c r="D5" s="288">
        <f>SUM(H8:H100)</f>
        <v>1762</v>
      </c>
      <c r="E5" s="289"/>
      <c r="G5" s="288">
        <f>IFERROR(ROUND(D5/A5,0),"-")</f>
        <v>136</v>
      </c>
      <c r="H5" s="289"/>
    </row>
    <row r="6" spans="1:8" ht="9.9499999999999993" customHeight="1"/>
    <row r="7" spans="1:8" ht="24.95" customHeight="1" thickBot="1">
      <c r="A7" s="143" t="s">
        <v>2977</v>
      </c>
      <c r="B7" s="143" t="s">
        <v>2978</v>
      </c>
      <c r="C7" s="143" t="s">
        <v>1</v>
      </c>
      <c r="D7" s="143" t="s">
        <v>2979</v>
      </c>
      <c r="E7" s="143" t="s">
        <v>2980</v>
      </c>
      <c r="F7" s="143" t="s">
        <v>2848</v>
      </c>
      <c r="G7" s="143" t="s">
        <v>5</v>
      </c>
      <c r="H7" s="143" t="s">
        <v>2981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2982</v>
      </c>
      <c r="B1" s="292"/>
      <c r="C1" s="292"/>
      <c r="D1" s="292"/>
      <c r="E1" s="292"/>
      <c r="F1" s="292"/>
    </row>
    <row r="2" spans="1:7">
      <c r="A2" s="293" t="s">
        <v>2983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2851</v>
      </c>
      <c r="C4" s="102" t="s">
        <v>2852</v>
      </c>
      <c r="D4" s="102" t="s">
        <v>2984</v>
      </c>
      <c r="E4" s="102" t="s">
        <v>2853</v>
      </c>
      <c r="F4" s="102" t="s">
        <v>2985</v>
      </c>
    </row>
    <row r="5" spans="1:7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32</v>
      </c>
      <c r="C5" s="103">
        <f>IF($A5="","",SUMIFS('GECC 2026'!I$2:I$200,'GECC 2026'!F$2:F$200,$A5))</f>
        <v>4.6400000000000006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36.64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53</v>
      </c>
      <c r="C11" s="103">
        <f>IF($A11="","",SUMIFS('GECC 2026'!I$2:I$200,'GECC 2026'!F$2:F$200,$A11))</f>
        <v>7.3400000000000007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60.340000000000011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28</v>
      </c>
      <c r="C14" s="103">
        <f>IF($A14="","",SUMIFS('GECC 2026'!I$2:I$200,'GECC 2026'!F$2:F$200,$A14))</f>
        <v>3.4400000000000004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31.439999999999998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31</v>
      </c>
      <c r="C19" s="103">
        <f>IF($A19="","",SUMIFS('GECC 2026'!I$2:I$200,'GECC 2026'!F$2:F$200,$A19))</f>
        <v>3.8900000000000006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34.89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Luiz Felipe Tenório de Lima Gondim</v>
      </c>
      <c r="B31" s="103">
        <f>IF($A31="","",SUMIFS('GECC 2026'!H$2:H$200,'GECC 2026'!F$2:F$200,$A31))</f>
        <v>16</v>
      </c>
      <c r="C31" s="103">
        <f>IF($A31="","",SUMIFS('GECC 2026'!I$2:I$200,'GECC 2026'!F$2:F$200,$A31))</f>
        <v>0.79999999999999993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16.8</v>
      </c>
      <c r="F31" s="101">
        <f>IF($A31="","",COUNTIFS('GECC 2026'!F$2:F$200,$A31))</f>
        <v>4</v>
      </c>
    </row>
    <row r="32" spans="1:6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>
      <c r="A37" t="str">
        <v>Priscila Nolasco</v>
      </c>
      <c r="B37" s="103">
        <f>IF($A37="","",SUMIFS('GECC 2026'!H$2:H$200,'GECC 2026'!F$2:F$200,$A37))</f>
        <v>28</v>
      </c>
      <c r="C37" s="103">
        <f>IF($A37="","",SUMIFS('GECC 2026'!I$2:I$200,'GECC 2026'!F$2:F$200,$A37))</f>
        <v>3.4400000000000004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31.439999999999998</v>
      </c>
      <c r="F37" s="101">
        <f>IF($A37="","",COUNTIFS('GECC 2026'!F$2:F$200,$A37))</f>
        <v>7</v>
      </c>
    </row>
    <row r="38" spans="1:6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2921</v>
      </c>
      <c r="B105" s="242">
        <f>SUM(B5:B100)</f>
        <v>672</v>
      </c>
      <c r="C105" s="242">
        <f>SUM(C5:C100)</f>
        <v>387.3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106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F95AF67B-67F3-479D-896A-04A7BBE7C8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2026-07-02T17:45:38Z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