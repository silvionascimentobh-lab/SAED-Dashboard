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86" documentId="13_ncr:1_{C887EC22-7CD1-4717-84BE-7303F42C5C0A}" xr6:coauthVersionLast="47" xr6:coauthVersionMax="47" xr10:uidLastSave="{FC0D2382-0B27-4E2A-8A09-396A947B693D}"/>
  <bookViews>
    <workbookView xWindow="28680" yWindow="-120" windowWidth="29040" windowHeight="15720" firstSheet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AE33" i="20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D45" i="23" l="1"/>
  <c r="F45" i="23"/>
  <c r="C45" i="23"/>
  <c r="B45" i="23"/>
  <c r="E45" i="23"/>
  <c r="D25" i="23"/>
  <c r="E21" i="23"/>
  <c r="C9" i="23"/>
  <c r="D8" i="23"/>
  <c r="E30" i="23"/>
  <c r="C41" i="23"/>
  <c r="C27" i="23"/>
  <c r="E29" i="23"/>
  <c r="B27" i="23"/>
  <c r="C16" i="23"/>
  <c r="E24" i="23"/>
  <c r="B7" i="23"/>
  <c r="D7" i="23"/>
  <c r="F31" i="23"/>
  <c r="F21" i="23"/>
  <c r="B6" i="23"/>
  <c r="D34" i="23"/>
  <c r="E33" i="23"/>
  <c r="E15" i="23"/>
  <c r="B9" i="23"/>
  <c r="F36" i="23"/>
  <c r="D21" i="23"/>
  <c r="D19" i="23"/>
  <c r="F29" i="23"/>
  <c r="B24" i="23"/>
  <c r="C10" i="23"/>
  <c r="F23" i="23"/>
  <c r="C44" i="23"/>
  <c r="B28" i="23"/>
  <c r="F30" i="23"/>
  <c r="E25" i="23"/>
  <c r="F19" i="23"/>
  <c r="B10" i="23"/>
  <c r="E43" i="23"/>
  <c r="E32" i="23"/>
  <c r="B43" i="23"/>
  <c r="C26" i="23"/>
  <c r="D20" i="23"/>
  <c r="D28" i="23"/>
  <c r="C23" i="23"/>
  <c r="C36" i="23"/>
  <c r="D40" i="23"/>
  <c r="F6" i="23"/>
  <c r="B15" i="23"/>
  <c r="B8" i="23"/>
  <c r="B41" i="23"/>
  <c r="C25" i="23"/>
  <c r="F33" i="23"/>
  <c r="D37" i="23"/>
  <c r="B11" i="23"/>
  <c r="E23" i="23"/>
  <c r="D33" i="23"/>
  <c r="F10" i="23"/>
  <c r="C40" i="23"/>
  <c r="C7" i="23"/>
  <c r="F38" i="23"/>
  <c r="D29" i="23"/>
  <c r="B32" i="23"/>
  <c r="F12" i="23"/>
  <c r="C28" i="23"/>
  <c r="E9" i="23"/>
  <c r="C39" i="23"/>
  <c r="D22" i="23"/>
  <c r="F15" i="23"/>
  <c r="D11" i="23"/>
  <c r="C14" i="23"/>
  <c r="B25" i="23"/>
  <c r="B39" i="23"/>
  <c r="F8" i="23"/>
  <c r="C6" i="23"/>
  <c r="C17" i="23"/>
  <c r="F11" i="23"/>
  <c r="C15" i="23"/>
  <c r="E41" i="23"/>
  <c r="D31" i="23"/>
  <c r="E22" i="23"/>
  <c r="F27" i="23"/>
  <c r="D13" i="23"/>
  <c r="B19" i="23"/>
  <c r="B44" i="23"/>
  <c r="F20" i="23"/>
  <c r="C24" i="23"/>
  <c r="E44" i="23"/>
  <c r="B26" i="23"/>
  <c r="B20" i="23"/>
  <c r="F39" i="23"/>
  <c r="E13" i="23"/>
  <c r="C38" i="23"/>
  <c r="E12" i="23"/>
  <c r="E28" i="23"/>
  <c r="D44" i="23"/>
  <c r="F28" i="23"/>
  <c r="B40" i="23"/>
  <c r="B42" i="23"/>
  <c r="C32" i="23"/>
  <c r="F9" i="23"/>
  <c r="C42" i="23"/>
  <c r="B37" i="23"/>
  <c r="D39" i="23"/>
  <c r="D24" i="23"/>
  <c r="F35" i="23"/>
  <c r="E38" i="23"/>
  <c r="C35" i="23"/>
  <c r="E37" i="23"/>
  <c r="B35" i="23"/>
  <c r="E36" i="23"/>
  <c r="F22" i="23"/>
  <c r="C30" i="23"/>
  <c r="B16" i="23"/>
  <c r="D17" i="23"/>
  <c r="D18" i="23"/>
  <c r="F17" i="23"/>
  <c r="E14" i="23"/>
  <c r="B30" i="23"/>
  <c r="F26" i="23"/>
  <c r="F24" i="23"/>
  <c r="D30" i="23"/>
  <c r="B34" i="23"/>
  <c r="F7" i="23"/>
  <c r="C18" i="23"/>
  <c r="C22" i="23"/>
  <c r="D38" i="23"/>
  <c r="C12" i="23"/>
  <c r="D14" i="23"/>
  <c r="D36" i="23"/>
  <c r="E34" i="23"/>
  <c r="E40" i="23"/>
  <c r="D16" i="23"/>
  <c r="F37" i="23"/>
  <c r="F43" i="23"/>
  <c r="C20" i="23"/>
  <c r="C33" i="23"/>
  <c r="F42" i="23"/>
  <c r="C43" i="23"/>
  <c r="C21" i="23"/>
  <c r="E27" i="23"/>
  <c r="B14" i="23"/>
  <c r="C8" i="23"/>
  <c r="D12" i="23"/>
  <c r="D42" i="23"/>
  <c r="F34" i="23"/>
  <c r="D35" i="23"/>
  <c r="C29" i="23"/>
  <c r="E35" i="23"/>
  <c r="D23" i="23"/>
  <c r="E20" i="23"/>
  <c r="B12" i="23"/>
  <c r="E6" i="23"/>
  <c r="D26" i="23"/>
  <c r="F40" i="23"/>
  <c r="B17" i="23"/>
  <c r="D27" i="23"/>
  <c r="F16" i="23"/>
  <c r="D15" i="23"/>
  <c r="C19" i="23"/>
  <c r="B38" i="23"/>
  <c r="F14" i="23"/>
  <c r="B22" i="23"/>
  <c r="C37" i="23"/>
  <c r="B36" i="23"/>
  <c r="C11" i="23"/>
  <c r="F13" i="23"/>
  <c r="B13" i="23"/>
  <c r="F44" i="23"/>
  <c r="B23" i="23"/>
  <c r="D32" i="23"/>
  <c r="D10" i="23"/>
  <c r="E7" i="23"/>
  <c r="D41" i="23"/>
  <c r="E8" i="23"/>
  <c r="D6" i="23"/>
  <c r="C34" i="23"/>
  <c r="E39" i="23"/>
  <c r="B33" i="23"/>
  <c r="E26" i="23"/>
  <c r="D9" i="23"/>
  <c r="F25" i="23"/>
  <c r="F18" i="23"/>
  <c r="F32" i="23"/>
  <c r="B31" i="23"/>
  <c r="B18" i="23"/>
  <c r="F41" i="23"/>
  <c r="C31" i="23"/>
  <c r="C13" i="23"/>
  <c r="E18" i="23"/>
  <c r="E10" i="23"/>
  <c r="E17" i="23"/>
  <c r="D43" i="23"/>
  <c r="B21" i="23"/>
  <c r="B29" i="23"/>
  <c r="E42" i="23"/>
  <c r="E11" i="23"/>
  <c r="E19" i="23"/>
  <c r="E16" i="23"/>
  <c r="E31" i="23"/>
  <c r="A5" i="23"/>
  <c r="F5" i="23" l="1"/>
  <c r="F105" i="23" s="1"/>
  <c r="D5" i="23"/>
  <c r="E5" i="23"/>
  <c r="B5" i="23"/>
  <c r="B105" i="23" s="1"/>
  <c r="C5" i="23"/>
  <c r="C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<sst xmlns="http://schemas.openxmlformats.org/spreadsheetml/2006/main" count="6628" uniqueCount="2989">
  <si>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</si>
  <si>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</si>
  <si>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</si>
  <si>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</si>
  <si>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</si>
  <si>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</si>
  <si>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</si>
  <si>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</si>
  <si>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</si>
  <si>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</si>
  <si>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</si>
  <si>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</si>
  <si>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</si>
  <si>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</si>
  <si>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</si>
  <si>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</si>
  <si>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</si>
  <si>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</si>
  <si>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</si>
  <si>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</si>
  <si>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</si>
  <si>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</si>
  <si>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</si>
  <si>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</si>
  <si>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</si>
  <si>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</si>
  <si>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</si>
  <si>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</si>
  <si>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</si>
  <si>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</si>
  <si>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</si>
  <si>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</si>
  <si>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</si>
  <si>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</si>
  <si>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</si>
  <si>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</si>
  <si>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</si>
  <si>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</si>
  <si>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</si>
  <si>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</si>
  <si>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</si>
  <si>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</si>
  <si>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</si>
  <si>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</si>
  <si>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</si>
  <si>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</si>
  <si>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</si>
  <si>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</si>
  <si>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</si>
  <si>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</si>
  <si>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</si>
  <si>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</si>
  <si>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</si>
  <si>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</si>
  <si>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</si>
  <si>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</si>
  <si>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</si>
  <si>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</si>
  <si>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</si>
  <si>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</si>
  <si>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</si>
  <si>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</si>
  <si>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</si>
  <si>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</si>
  <si>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</si>
  <si>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</si>
  <si>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</si>
  <si>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</si>
  <si>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</si>
  <si>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</si>
  <si>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</si>
  <si>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</si>
  <si>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</si>
  <si>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</si>
  <si>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</si>
  <si>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</si>
  <si>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</si>
  <si>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</si>
  <si>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</si>
  <si>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</si>
  <si>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</si>
  <si>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</si>
  <si>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</si>
  <si>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</si>
  <si>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</si>
  <si>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</si>
  <si>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</si>
  <si>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</si>
  <si>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</si>
  <si>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</si>
  <si>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</si>
  <si>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</si>
  <si>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</si>
  <si>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</si>
  <si>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</si>
  <si>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</si>
  <si>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</si>
  <si>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</si>
  <si>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</si>
  <si>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</si>
  <si>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</si>
  <si>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</si>
  <si>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</si>
  <si>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</si>
  <si>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</si>
  <si>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</si>
  <si>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</si>
  <si>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</si>
  <si>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</si>
  <si>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</si>
  <si>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</si>
  <si>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</si>
  <si>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</si>
  <si>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</si>
  <si>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</si>
  <si>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</si>
  <si>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</si>
  <si>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</si>
  <si>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</si>
  <si>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</si>
  <si>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</si>
  <si>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</si>
  <si>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</si>
  <si>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</si>
  <si>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</si>
  <si>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</si>
  <si>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</si>
  <si>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</si>
  <si>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</si>
  <si>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</si>
  <si>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</si>
  <si>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</si>
  <si>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</si>
  <si>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</si>
  <si>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</si>
  <si>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</si>
  <si>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</si>
  <si>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</si>
  <si>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</si>
  <si>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</si>
  <si>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</si>
  <si>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</si>
  <si>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</si>
  <si>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</si>
  <si>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</si>
  <si>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</si>
  <si>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</si>
  <si>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</si>
  <si>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</si>
  <si>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</si>
  <si>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</si>
  <si>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</si>
  <si>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</si>
  <si>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</si>
  <si>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</si>
  <si>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</si>
  <si>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</si>
  <si>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</si>
  <si>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</si>
  <si>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</si>
  <si>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</si>
  <si>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</si>
  <si>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</si>
  <si>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</si>
  <si>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</si>
  <si>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</si>
  <si>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</si>
  <si>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</si>
  <si>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</si>
  <si>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</si>
  <si>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</si>
  <si>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</si>
  <si>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</si>
  <si>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</si>
  <si>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</si>
  <si>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</si>
  <si>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</si>
  <si>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</si>
  <si>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</si>
  <si>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</si>
  <si>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</si>
  <si>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</si>
  <si>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</si>
  <si>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</si>
  <si>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</si>
  <si>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</si>
  <si>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</si>
  <si>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</si>
  <si>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</si>
  <si>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</si>
  <si>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</si>
  <si>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</si>
  <si>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</si>
  <si>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</si>
  <si>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</si>
  <si>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</si>
  <si>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</si>
  <si>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</si>
  <si>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</si>
  <si>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</si>
  <si>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</si>
  <si>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</si>
  <si>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</si>
  <si>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</si>
  <si>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</si>
  <si>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</si>
  <si>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</si>
  <si>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</si>
  <si>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</si>
  <si>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</si>
  <si>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</si>
  <si>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</si>
  <si>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</si>
  <si>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</si>
  <si>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</si>
  <si>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</si>
  <si>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</si>
  <si>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</si>
  <si>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</si>
  <si>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</si>
  <si>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</si>
  <si>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</si>
  <si>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</si>
  <si>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</si>
  <si>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</si>
  <si>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</si>
  <si>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</si>
  <si>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</si>
  <si>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</si>
  <si>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</si>
  <si>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</si>
  <si>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</si>
  <si>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</si>
  <si>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</si>
  <si>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</si>
  <si>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</si>
  <si>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</si>
  <si>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</si>
  <si>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</si>
  <si>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</si>
  <si>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</si>
  <si>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</si>
  <si>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</si>
  <si>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</si>
  <si>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</si>
  <si>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</si>
  <si>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</si>
  <si>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</si>
  <si>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</si>
  <si>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</si>
  <si>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</si>
  <si>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</si>
  <si>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</si>
  <si>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</si>
  <si>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</si>
  <si>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</si>
  <si>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</si>
  <si>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</si>
  <si>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</si>
  <si>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</si>
  <si>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</si>
  <si>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</si>
  <si>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</si>
  <si>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</si>
  <si>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</si>
  <si>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</si>
  <si>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</si>
  <si>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</si>
  <si>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</si>
  <si>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</si>
  <si>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</si>
  <si>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</si>
  <si>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</si>
  <si>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</si>
  <si>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</si>
  <si>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</si>
  <si>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</si>
  <si>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</si>
  <si>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</si>
  <si>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</si>
  <si>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</si>
  <si>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</si>
  <si>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</si>
  <si>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</si>
  <si>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</si>
  <si>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</si>
  <si>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</si>
  <si>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</si>
  <si>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</si>
  <si>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</si>
  <si>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</si>
  <si>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</si>
  <si>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</si>
  <si>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</si>
  <si>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</si>
  <si>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</si>
  <si>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</si>
  <si>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</si>
  <si>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</si>
  <si>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</si>
  <si>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</si>
  <si>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</si>
  <si>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</si>
  <si>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</si>
  <si>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</si>
  <si>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</si>
  <si>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</si>
  <si>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</si>
  <si>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</si>
  <si>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</si>
  <si>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</si>
  <si>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</si>
  <si>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</si>
  <si>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</si>
  <si>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</si>
  <si>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</si>
  <si>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</si>
  <si>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</si>
  <si>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</si>
  <si>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</si>
  <si>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</si>
  <si>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</si>
  <si>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</si>
  <si>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</si>
  <si>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</si>
  <si>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</si>
  <si>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</si>
  <si>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</si>
  <si>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</si>
  <si>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</si>
  <si>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</si>
  <si>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</si>
  <si>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</si>
  <si>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</si>
  <si>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</si>
  <si>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</si>
  <si>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</si>
  <si>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</si>
  <si>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</si>
  <si>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</si>
  <si>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</si>
  <si>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</si>
  <si>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</si>
  <si>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</si>
  <si>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</si>
  <si>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</si>
  <si>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</si>
  <si>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</si>
  <si>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</si>
  <si>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</si>
  <si>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</si>
  <si>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</si>
  <si>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</si>
  <si>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</si>
  <si>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</si>
  <si>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</si>
  <si>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</si>
  <si>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</si>
  <si>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</si>
  <si>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</si>
  <si>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</si>
  <si>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</si>
  <si>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</si>
  <si>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</si>
  <si>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</si>
  <si>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</si>
  <si>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</si>
  <si>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</si>
  <si>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</si>
  <si>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</si>
  <si>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</si>
  <si>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</si>
  <si>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</si>
  <si>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</si>
  <si>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</si>
  <si>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</si>
  <si>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</si>
  <si>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</si>
  <si>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</si>
  <si>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</si>
  <si>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</si>
  <si>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</si>
  <si>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</si>
  <si>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</si>
  <si>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</si>
  <si>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</si>
  <si>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</si>
  <si>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</si>
  <si>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</si>
  <si>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</si>
  <si>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</si>
  <si>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</si>
  <si>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</si>
  <si>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</si>
  <si>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</si>
  <si>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</si>
  <si>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</si>
  <si>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</si>
  <si>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</si>
  <si>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</si>
  <si>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</si>
  <si>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</si>
  <si>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</si>
  <si>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</si>
  <si>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</si>
  <si>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</si>
  <si>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</si>
  <si>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</si>
  <si>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</si>
  <si>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</si>
  <si>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</si>
  <si>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</si>
  <si>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</si>
  <si>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</si>
  <si>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</si>
  <si>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</si>
  <si>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</si>
  <si>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</si>
  <si>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</si>
  <si>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</si>
  <si>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</si>
  <si>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</si>
  <si>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</si>
  <si>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</si>
  <si>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</si>
  <si>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</si>
  <si>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</si>
  <si>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</si>
  <si>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</si>
  <si>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</si>
  <si>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</si>
  <si>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</si>
  <si>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</si>
  <si>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</si>
  <si>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</si>
  <si>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</si>
  <si>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</si>
  <si>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</si>
  <si>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</si>
  <si>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</si>
  <si>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</si>
  <si>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</si>
  <si>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</si>
  <si>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</si>
  <si>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</si>
  <si>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</si>
  <si>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</si>
  <si>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</si>
  <si>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</si>
  <si>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</si>
  <si>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</si>
  <si>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</si>
  <si>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</si>
  <si>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</si>
  <si>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</si>
  <si>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</si>
  <si>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</si>
  <si>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</si>
  <si>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</si>
  <si>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</si>
  <si>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</si>
  <si>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</si>
  <si>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</si>
  <si>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</si>
  <si>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</si>
  <si>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</si>
  <si>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</si>
  <si>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</si>
  <si>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</si>
  <si>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</si>
  <si>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</si>
  <si>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</si>
  <si>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</si>
  <si>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</si>
  <si>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</si>
  <si>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</si>
  <si>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</si>
  <si>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</si>
  <si>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</si>
  <si>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</si>
  <si>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</si>
  <si>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</si>
  <si>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</si>
  <si>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</si>
  <si>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</si>
  <si>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</si>
  <si>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</si>
  <si>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</si>
  <si>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</si>
  <si>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</si>
  <si>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</si>
  <si>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</si>
  <si>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</si>
  <si>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</si>
  <si>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</si>
  <si>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</si>
  <si>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</si>
  <si>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</si>
  <si>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</si>
  <si>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</si>
  <si>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</si>
  <si>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</si>
  <si>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</si>
  <si>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</si>
  <si>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</si>
  <si>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</si>
  <si>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</si>
  <si>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</si>
  <si>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</si>
  <si>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</si>
  <si>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</si>
  <si>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</si>
  <si>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</si>
  <si>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</si>
  <si>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</si>
  <si>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</si>
  <si>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</si>
  <si>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</si>
  <si>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</si>
  <si>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</si>
  <si>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</si>
  <si>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</si>
  <si>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</si>
  <si>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</si>
  <si>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</si>
  <si>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</si>
  <si>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</si>
  <si>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</si>
  <si>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</si>
  <si>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</si>
  <si>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</si>
  <si>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</si>
  <si>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</si>
  <si>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</si>
  <si>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</si>
  <si>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</si>
  <si>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</si>
  <si>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</si>
  <si>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</si>
  <si>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</si>
  <si>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</si>
  <si>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</si>
  <si>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</si>
  <si>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</si>
  <si>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</si>
  <si>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</si>
  <si>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</si>
  <si>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</si>
  <si>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</si>
  <si>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</si>
  <si>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</si>
  <si>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</si>
  <si>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</si>
  <si>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</si>
  <si>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</si>
  <si>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</si>
  <si>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</si>
  <si>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</si>
  <si>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</si>
  <si>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</si>
  <si>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</si>
  <si>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</si>
  <si>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</si>
  <si>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</si>
  <si>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</si>
  <si>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</si>
  <si>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</si>
  <si>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</si>
  <si>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</si>
  <si>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</si>
  <si>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</si>
  <si>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</si>
  <si>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</si>
  <si>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</si>
  <si>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</si>
  <si>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</si>
  <si>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</si>
  <si>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</si>
  <si>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</si>
  <si>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</si>
  <si>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</si>
  <si>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</si>
  <si>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</si>
  <si>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</si>
  <si>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</si>
  <si>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</si>
  <si>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</si>
  <si>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</si>
  <si>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</si>
  <si>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</si>
  <si>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</si>
  <si>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</si>
  <si>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</si>
  <si>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</si>
  <si>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</si>
  <si>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</si>
  <si>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</si>
  <si>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</si>
  <si>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</si>
  <si>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</si>
  <si>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</si>
  <si>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</si>
  <si>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</si>
  <si>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</si>
  <si>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</si>
  <si>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</si>
  <si>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</si>
  <si>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</si>
  <si>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</si>
  <si>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</si>
  <si>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</si>
  <si>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</si>
  <si>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</si>
  <si>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</si>
  <si>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</si>
  <si>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</si>
  <si>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</si>
  <si>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</si>
  <si>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</si>
  <si>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</si>
  <si>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</si>
  <si>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</si>
  <si>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</si>
  <si>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</si>
  <si>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</si>
  <si>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</si>
  <si>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</si>
  <si>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</si>
  <si>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</si>
  <si>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</si>
  <si>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</si>
  <si>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</si>
  <si>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</si>
  <si>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</si>
  <si>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</si>
  <si>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</si>
  <si>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</si>
  <si>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</si>
  <si>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</si>
  <si>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</si>
  <si>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</si>
  <si>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</si>
  <si>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</si>
  <si>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</si>
  <si>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</si>
  <si>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</si>
  <si>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</si>
  <si>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</si>
  <si>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</si>
  <si>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</si>
  <si>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</si>
  <si>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</si>
  <si>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</si>
  <si>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</si>
  <si>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</si>
  <si>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</si>
  <si>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</si>
  <si>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</si>
  <si>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</si>
  <si>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</si>
  <si>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</si>
  <si>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</si>
  <si>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</si>
  <si>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</si>
  <si>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</si>
  <si>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</si>
  <si>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</si>
  <si>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</si>
  <si>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</si>
  <si>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</si>
  <si>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</si>
  <si>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</si>
  <si>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</si>
  <si>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</si>
  <si>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</si>
  <si>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</si>
  <si>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</si>
  <si>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</si>
  <si>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</si>
  <si>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</si>
  <si>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</si>
  <si>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</si>
  <si>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</si>
  <si>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</si>
  <si>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</si>
  <si>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</si>
  <si>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</si>
  <si>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</si>
  <si>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</si>
  <si>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</si>
  <si>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</si>
  <si>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</si>
  <si>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</si>
  <si>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</si>
  <si>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</si>
  <si>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</si>
  <si>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</si>
  <si>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</si>
  <si>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</si>
  <si>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</si>
  <si>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</si>
  <si>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</si>
  <si>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</si>
  <si>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</si>
  <si>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</si>
  <si>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</si>
  <si>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</si>
  <si>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</si>
  <si>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</si>
  <si>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</si>
  <si>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</si>
  <si>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</si>
  <si>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</si>
  <si>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</si>
  <si>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</si>
  <si>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</si>
  <si>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</si>
  <si>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</si>
  <si>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</si>
  <si>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</si>
  <si>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</si>
  <si>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</si>
  <si>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</si>
  <si>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</si>
  <si>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</si>
  <si>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</si>
  <si>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</si>
  <si>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</si>
  <si>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</si>
  <si>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</si>
  <si>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</si>
  <si>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</si>
  <si>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</si>
  <si>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</si>
  <si>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</si>
  <si>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</si>
  <si>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</si>
  <si>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</si>
  <si>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</si>
  <si>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</si>
  <si>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</si>
  <si>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</si>
  <si>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</si>
  <si>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</si>
  <si>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</si>
  <si>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</si>
  <si>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</si>
  <si>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</si>
  <si>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</si>
  <si>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</si>
  <si>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</si>
  <si>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</si>
  <si>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</si>
  <si>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</si>
  <si>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</si>
  <si>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</si>
  <si>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</si>
  <si>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</si>
  <si>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</si>
  <si>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</si>
  <si>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</si>
  <si>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</si>
  <si>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</si>
  <si>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</si>
  <si>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</si>
  <si>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</si>
  <si>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</si>
  <si>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</si>
  <si>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</si>
  <si>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</si>
  <si>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</si>
  <si>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</si>
  <si>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</si>
  <si>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</si>
  <si>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</si>
  <si>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</si>
  <si>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</si>
  <si>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</si>
  <si>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</si>
  <si>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</si>
  <si>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</si>
  <si>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</si>
  <si>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</si>
  <si>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</si>
  <si>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</si>
  <si>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</si>
  <si>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</si>
  <si>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</si>
  <si>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</si>
  <si>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</si>
  <si>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</si>
  <si>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</si>
  <si>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</si>
  <si>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</si>
  <si>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</si>
  <si>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</si>
  <si>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</si>
  <si>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</si>
  <si>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</si>
  <si>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</si>
  <si>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</si>
  <si>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</si>
  <si>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</si>
  <si>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</si>
  <si>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</si>
  <si>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</si>
  <si>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</si>
  <si>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</si>
  <si>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</si>
  <si>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</si>
  <si>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</si>
  <si>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</si>
  <si>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</si>
  <si>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</si>
  <si>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</si>
  <si>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</si>
  <si>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</si>
  <si>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</si>
  <si>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</si>
  <si>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</si>
  <si>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</si>
  <si>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</si>
  <si>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</si>
  <si>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</si>
  <si>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</si>
  <si>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</si>
  <si>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</si>
  <si>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</si>
  <si>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</si>
  <si>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</si>
  <si>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</si>
  <si>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</si>
  <si>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</si>
  <si>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</si>
  <si>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</si>
  <si>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</si>
  <si>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</si>
  <si>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</si>
  <si>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</si>
  <si>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</si>
  <si>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</si>
  <si>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</si>
  <si>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</si>
  <si>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</si>
  <si>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</si>
  <si>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</si>
  <si>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</si>
  <si>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</si>
  <si>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</si>
  <si>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</si>
  <si>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</si>
  <si>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</si>
  <si>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</si>
  <si>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</si>
  <si>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</si>
  <si>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</si>
  <si>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</si>
  <si>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</si>
  <si>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</si>
  <si>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</si>
  <si>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</si>
  <si>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</si>
  <si>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</si>
  <si>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</si>
  <si>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</si>
  <si>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</si>
  <si>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</si>
  <si>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</si>
  <si>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</si>
  <si>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</si>
  <si>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</si>
  <si>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</si>
  <si>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</si>
  <si>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</si>
  <si>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</si>
  <si>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</si>
  <si>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</si>
  <si>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</si>
  <si>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</si>
  <si>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</si>
  <si>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</si>
  <si>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</si>
  <si>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</si>
  <si>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</si>
  <si>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</si>
  <si>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</si>
  <si>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</si>
  <si>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</si>
  <si>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</si>
  <si>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</si>
  <si>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</si>
  <si>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</si>
  <si>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</si>
  <si>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</si>
  <si>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</si>
  <si>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</si>
  <si>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</si>
  <si>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</si>
  <si>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</si>
  <si>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</si>
  <si>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</si>
  <si>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</si>
  <si>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</si>
  <si>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</si>
  <si>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</si>
  <si>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</si>
  <si>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</si>
  <si>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</si>
  <si>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</si>
  <si>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</si>
  <si>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</si>
  <si>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</si>
  <si>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</si>
  <si>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</si>
  <si>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</si>
  <si>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</si>
  <si>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</si>
  <si>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</si>
  <si>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</si>
  <si>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</si>
  <si>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</si>
  <si>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</si>
  <si>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</si>
  <si>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</si>
  <si>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</si>
  <si>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</si>
  <si>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</si>
  <si>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</si>
  <si>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</si>
  <si>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</si>
  <si>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</si>
  <si>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</si>
  <si>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</si>
  <si>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</si>
  <si>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</si>
  <si>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</si>
  <si>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</si>
  <si>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</si>
  <si>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</si>
  <si>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</si>
  <si>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</si>
  <si>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</si>
  <si>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</si>
  <si>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</si>
  <si>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</si>
  <si>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</si>
  <si>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</si>
  <si>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</si>
  <si>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</si>
  <si>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</si>
  <si>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</si>
  <si>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</si>
  <si>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</si>
  <si>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</si>
  <si>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</si>
  <si>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</si>
  <si>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</si>
  <si>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</si>
  <si>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</si>
  <si>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</si>
  <si>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</si>
  <si>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</si>
  <si>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</si>
  <si>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</si>
  <si>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</si>
  <si>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</si>
  <si>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</si>
  <si>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</si>
  <si>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</si>
  <si>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</si>
  <si>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</si>
  <si>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</si>
  <si>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</si>
  <si>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</si>
  <si>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</si>
  <si>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</si>
  <si>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</si>
  <si>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</si>
  <si>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</si>
  <si>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</si>
  <si>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</si>
  <si>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</si>
  <si>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</si>
  <si>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</si>
  <si>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</si>
  <si>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</si>
  <si>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</si>
  <si>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</si>
  <si>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</si>
  <si>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</si>
  <si>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</si>
  <si>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</si>
  <si>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</si>
  <si>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</si>
  <si>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</si>
  <si>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</si>
  <si>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</si>
  <si>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</si>
  <si>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</si>
  <si>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</si>
  <si>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</si>
  <si>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</si>
  <si>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</si>
  <si>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</si>
  <si>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</si>
  <si>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</si>
  <si>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</si>
  <si>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</si>
  <si>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</si>
  <si>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</si>
  <si>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</si>
  <si>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</si>
  <si>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</si>
  <si>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</si>
  <si>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</si>
  <si>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</si>
  <si>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</si>
  <si>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</si>
  <si>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</si>
  <si>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</si>
  <si>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</si>
  <si>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</si>
  <si>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</si>
  <si>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</si>
  <si>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</si>
  <si>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</si>
  <si>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</si>
  <si>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</si>
  <si>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</si>
  <si>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</si>
  <si>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</si>
  <si>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</si>
  <si>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</si>
  <si>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</si>
  <si>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</si>
  <si>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</si>
  <si>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</si>
  <si>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</si>
  <si>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</si>
  <si>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</si>
  <si>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</si>
  <si>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</si>
  <si>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</si>
  <si>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</si>
  <si>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</si>
  <si>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</si>
  <si>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</si>
  <si>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</si>
  <si>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</si>
  <si>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</si>
  <si>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</si>
  <si>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</si>
  <si>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</si>
  <si>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</si>
  <si>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</si>
  <si>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</si>
  <si>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</si>
  <si>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</si>
  <si>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</si>
  <si>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</si>
  <si>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</si>
  <si>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</si>
  <si>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</si>
  <si>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</si>
  <si>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</si>
  <si>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</si>
  <si>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</si>
  <si>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</si>
  <si>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</si>
  <si>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</si>
  <si>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</si>
  <si>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</si>
  <si>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</si>
  <si>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</si>
  <si>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</si>
  <si>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</si>
  <si>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</si>
  <si>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</si>
  <si>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</si>
  <si>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</si>
  <si>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</si>
  <si>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</si>
  <si>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</si>
  <si>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</si>
  <si>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</si>
  <si>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</si>
  <si>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</si>
  <si>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</si>
  <si>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</si>
  <si>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</si>
  <si>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</si>
  <si>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</si>
  <si>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</si>
  <si>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</si>
  <si>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</si>
  <si>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</si>
  <si>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</si>
  <si>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</si>
  <si>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</si>
  <si>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</si>
  <si>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</si>
  <si>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</si>
  <si>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</si>
  <si>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</si>
  <si>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</si>
  <si>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</si>
  <si>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</si>
  <si>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</si>
  <si>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</si>
  <si>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</si>
  <si>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</si>
  <si>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</si>
  <si>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</si>
  <si>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</si>
  <si>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</si>
  <si>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</si>
  <si>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</si>
  <si>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</si>
  <si>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</si>
  <si>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</si>
  <si>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</si>
  <si>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</si>
  <si>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</si>
  <si>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</si>
  <si>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</si>
  <si>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</si>
  <si>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</si>
  <si>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</si>
  <si>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</si>
  <si>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</si>
  <si>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</si>
  <si>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</si>
  <si>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</si>
  <si>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</si>
  <si>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</si>
  <si>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</si>
  <si>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</si>
  <si>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</si>
  <si>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</si>
  <si>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</si>
  <si>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</si>
  <si>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</si>
  <si>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</si>
  <si>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</si>
  <si>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</si>
  <si>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</si>
  <si>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</si>
  <si>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</si>
  <si>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</si>
  <si>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</si>
  <si>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</si>
  <si>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</si>
  <si>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</si>
  <si>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</si>
  <si>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</si>
  <si>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</si>
  <si>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</si>
  <si>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</si>
  <si>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</si>
  <si>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</si>
  <si>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</si>
  <si>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</si>
  <si>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</si>
  <si>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</si>
  <si>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</si>
  <si>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</si>
  <si>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</si>
  <si>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</si>
  <si>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</si>
  <si>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</si>
  <si>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</si>
  <si>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</si>
  <si>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</si>
  <si>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</si>
  <si>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</si>
  <si>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</si>
  <si>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</si>
  <si>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</si>
  <si>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</si>
  <si>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</si>
  <si>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</si>
  <si>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</si>
  <si>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</si>
  <si>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</si>
  <si>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</si>
  <si>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</si>
  <si>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</si>
  <si>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</si>
  <si>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</si>
  <si>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</si>
  <si>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</si>
  <si>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</si>
  <si>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</si>
  <si>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</si>
  <si>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</si>
  <si>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</si>
  <si>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</si>
  <si>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</si>
  <si>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</si>
  <si>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</si>
  <si>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</si>
  <si>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</si>
  <si>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</si>
  <si>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</si>
  <si>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</si>
  <si>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</si>
  <si>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</si>
  <si>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</si>
  <si>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</si>
  <si>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</si>
  <si>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</si>
  <si>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</si>
  <si>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</si>
  <si>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</si>
  <si>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</si>
  <si>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</si>
  <si>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</si>
  <si>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</si>
  <si>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</si>
  <si>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</si>
  <si>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</si>
  <si>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</si>
  <si>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</si>
  <si>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</si>
  <si>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</si>
  <si>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</si>
  <si>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</si>
  <si>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</si>
  <si>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</si>
  <si>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</si>
  <si>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</si>
  <si>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</si>
  <si>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</si>
  <si>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</si>
  <si>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</si>
  <si>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</si>
  <si>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</si>
  <si>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</si>
  <si>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</si>
  <si>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</si>
  <si>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</si>
  <si>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</si>
  <si>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</si>
  <si>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</si>
  <si>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</si>
  <si>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</si>
  <si>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</si>
  <si>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</si>
  <si>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</si>
  <si>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</si>
  <si>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</si>
  <si>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</si>
  <si>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</si>
  <si>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</si>
  <si>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</si>
  <si>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</si>
  <si>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</si>
  <si>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</si>
  <si>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</si>
  <si>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</si>
  <si>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</si>
  <si>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</si>
  <si>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</si>
  <si>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</si>
  <si>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</si>
  <si>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</si>
  <si>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</si>
  <si>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</si>
  <si>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</si>
  <si>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</si>
  <si>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</si>
  <si>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</si>
  <si>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</si>
  <si>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</si>
  <si>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</si>
  <si>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</si>
  <si>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</si>
  <si>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</si>
  <si>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</si>
  <si>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</si>
  <si>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</si>
  <si>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</si>
  <si>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</si>
  <si>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</si>
  <si>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</si>
  <si>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</si>
  <si>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</si>
  <si>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</si>
  <si>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</si>
  <si>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</si>
  <si>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</si>
  <si>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</si>
  <si>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</si>
  <si>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</si>
  <si>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</si>
  <si>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</si>
  <si>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</si>
  <si>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</si>
  <si>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</si>
  <si>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</si>
  <si>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</si>
  <si>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</si>
  <si>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</si>
  <si>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</si>
  <si>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</si>
  <si>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</si>
  <si>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</si>
  <si>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</si>
  <si>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</si>
  <si>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</si>
  <si>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</si>
  <si>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</si>
  <si>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</si>
  <si>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</si>
  <si>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</si>
  <si>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</si>
  <si>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</si>
  <si>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</si>
  <si>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</si>
  <si>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</si>
  <si>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</si>
  <si>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</si>
  <si>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</si>
  <si>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</si>
  <si>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</si>
  <si>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</si>
  <si>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</si>
  <si>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</si>
  <si>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</si>
  <si>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</si>
  <si>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</si>
  <si>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</si>
  <si>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</si>
  <si>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</si>
  <si>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</si>
  <si>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</si>
  <si>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</si>
  <si>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</si>
  <si>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</si>
  <si>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</si>
  <si>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</si>
  <si>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</si>
  <si>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</si>
  <si>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</si>
  <si>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</si>
  <si>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</si>
  <si>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</si>
  <si>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</si>
  <si>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</si>
  <si>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</si>
  <si>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</si>
  <si>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</si>
  <si>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</si>
  <si>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</si>
  <si>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</si>
  <si>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</si>
  <si>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</si>
  <si>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</si>
  <si>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</si>
  <si>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</si>
  <si>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</si>
  <si>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</si>
  <si>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</si>
  <si>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</si>
  <si>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</si>
  <si>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</si>
  <si>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</si>
  <si>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</si>
  <si>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</si>
  <si>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</si>
  <si>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</si>
  <si>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</si>
  <si>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</si>
  <si>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</si>
  <si>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</si>
  <si>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</si>
  <si>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</si>
  <si>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</si>
  <si>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</si>
  <si>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</si>
  <si>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</si>
  <si>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</si>
  <si>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</si>
  <si>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</si>
  <si>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</si>
  <si>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</si>
  <si>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</si>
  <si>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</si>
  <si>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</si>
  <si>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</si>
  <si>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</si>
  <si>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</si>
  <si>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</si>
  <si>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</si>
  <si>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</si>
  <si>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</si>
  <si>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</si>
  <si>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</si>
  <si>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</si>
  <si>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</si>
  <si>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</si>
  <si>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</si>
  <si>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</si>
  <si>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</si>
  <si>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</si>
  <si>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</si>
  <si>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</si>
  <si>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</si>
  <si>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</si>
  <si>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</si>
  <si>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</si>
  <si>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</si>
  <si>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</si>
  <si>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</si>
  <si>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</si>
  <si>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</si>
  <si>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</si>
  <si>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</si>
  <si>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</si>
  <si>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</si>
  <si>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</si>
  <si>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</si>
  <si>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</si>
  <si>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</si>
  <si>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</si>
  <si>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</si>
  <si>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</si>
  <si>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</si>
  <si>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</si>
  <si>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</si>
  <si>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</si>
  <si>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</si>
  <si>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</si>
  <si>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</si>
  <si>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</si>
  <si>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</si>
  <si>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</si>
  <si>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</si>
  <si>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</si>
  <si>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</si>
  <si>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</si>
  <si>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</si>
  <si>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</si>
  <si>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</si>
  <si>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</si>
  <si>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</si>
  <si>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</si>
  <si>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</si>
  <si>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</si>
  <si>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</si>
  <si>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</si>
  <si>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</si>
  <si>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</si>
  <si>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</si>
  <si>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</si>
  <si>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</si>
  <si>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</si>
  <si>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</si>
  <si>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</si>
  <si>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</si>
  <si>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</si>
  <si>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</si>
  <si>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</si>
  <si>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</si>
  <si>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</si>
  <si>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</si>
  <si>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</si>
  <si>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</si>
  <si>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</si>
  <si>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</si>
  <si>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</si>
  <si>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</si>
  <si>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</si>
  <si>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</si>
  <si>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</si>
  <si>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</si>
  <si>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</si>
  <si>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</si>
  <si>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</si>
  <si>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</si>
  <si>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</si>
  <si>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</si>
  <si>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</si>
  <si>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</si>
  <si>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</si>
  <si>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</si>
  <si>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</si>
  <si>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</si>
  <si>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</si>
  <si>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</si>
  <si>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</si>
  <si>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</si>
  <si>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</si>
  <si>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</si>
  <si>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</si>
  <si>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</si>
  <si>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</si>
  <si>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</si>
  <si>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</si>
  <si>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</si>
  <si>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</si>
  <si>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</si>
  <si>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</si>
  <si>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</si>
  <si>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</si>
  <si>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</si>
  <si>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</si>
  <si>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</si>
  <si>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</si>
  <si>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</si>
  <si>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</si>
  <si>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</si>
  <si>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</si>
  <si>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</si>
  <si>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</si>
  <si>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</si>
  <si>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</si>
  <si>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</si>
  <si>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</si>
  <si>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</si>
  <si>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</si>
  <si>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</si>
  <si>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</si>
  <si>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</si>
  <si>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</si>
  <si>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</si>
  <si>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</si>
  <si>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</si>
  <si>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</si>
  <si>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</si>
  <si>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</si>
  <si>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</si>
  <si>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</si>
  <si>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</si>
  <si>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</si>
  <si>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</si>
  <si>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</si>
  <si>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</si>
  <si>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</si>
  <si>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</si>
  <si>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</si>
  <si>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</si>
  <si>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</si>
  <si>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</si>
  <si>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</si>
  <si>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</si>
  <si>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</si>
  <si>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</si>
  <si>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</si>
  <si>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</si>
  <si>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</si>
  <si>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</si>
  <si>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</si>
  <si>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</si>
  <si>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</si>
  <si>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</si>
  <si>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</si>
  <si>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</si>
  <si>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</si>
  <si>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</si>
  <si>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</si>
  <si>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</si>
  <si>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</si>
  <si>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</si>
  <si>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</si>
  <si>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</si>
  <si>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</si>
  <si>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</si>
  <si>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</si>
  <si>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</si>
  <si>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</si>
  <si>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</si>
  <si>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</si>
  <si>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</si>
  <si>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</si>
  <si>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</si>
  <si>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</si>
  <si>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</si>
  <si>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</si>
  <si>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</si>
  <si>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</si>
  <si>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</si>
  <si>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</si>
  <si>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</si>
  <si>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</si>
  <si>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</si>
  <si>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</si>
  <si>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</si>
  <si>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</si>
  <si>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</si>
  <si>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</si>
  <si>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</si>
  <si>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</si>
  <si>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</si>
  <si>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</si>
  <si>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</si>
  <si>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</si>
  <si>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</si>
  <si>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</si>
  <si>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</si>
  <si>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</si>
  <si>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</si>
  <si>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</si>
  <si>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</si>
  <si>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</si>
  <si>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</si>
  <si>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</si>
  <si>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</si>
  <si>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</si>
  <si>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</si>
  <si>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</si>
  <si>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</si>
  <si>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</si>
  <si>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</si>
  <si>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</si>
  <si>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</si>
  <si>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</si>
  <si>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</si>
  <si>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</si>
  <si>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</si>
  <si>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</si>
  <si>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</si>
  <si>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</si>
  <si>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</si>
  <si>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</si>
  <si>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</si>
  <si>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</si>
  <si>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</si>
  <si>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</si>
  <si>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</si>
  <si>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</si>
  <si>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</si>
  <si>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</si>
  <si>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</si>
  <si>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</si>
  <si>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</si>
  <si>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</si>
  <si>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</si>
  <si>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</si>
  <si>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</si>
  <si>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</si>
  <si>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</si>
  <si>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</si>
  <si>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</si>
  <si>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</si>
  <si>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</si>
  <si>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</si>
  <si>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</si>
  <si>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</si>
  <si>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</si>
  <si>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</si>
  <si>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</si>
  <si>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</si>
  <si>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</si>
  <si>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</si>
  <si>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</si>
  <si>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</si>
  <si>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</si>
  <si>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</si>
  <si>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</si>
  <si>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</si>
  <si>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</si>
  <si>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</si>
  <si>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</si>
  <si>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</si>
  <si>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</si>
  <si>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</si>
  <si>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</si>
  <si>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</si>
  <si>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</si>
  <si>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</si>
  <si>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</si>
  <si>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</si>
  <si>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</si>
  <si>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</si>
  <si>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</si>
  <si>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</si>
  <si>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</si>
  <si>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</si>
  <si>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</si>
  <si>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</si>
  <si>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</si>
  <si>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</si>
  <si>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</si>
  <si>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</si>
  <si>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</si>
  <si>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</si>
  <si>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</si>
  <si>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</si>
  <si>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</si>
  <si>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</si>
  <si>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</si>
  <si>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</si>
  <si>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</si>
  <si>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</si>
  <si>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</si>
  <si>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</si>
  <si>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</si>
  <si>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</si>
  <si>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</si>
  <si>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</si>
  <si>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</si>
  <si>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</si>
  <si>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</si>
  <si>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</si>
  <si>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</si>
  <si>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</si>
  <si>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</si>
  <si>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</si>
  <si>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</si>
  <si>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</si>
  <si>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</si>
  <si>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</si>
  <si>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</si>
  <si>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</si>
  <si>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</si>
  <si>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</si>
  <si>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</si>
  <si>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</si>
  <si>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</si>
  <si>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</si>
  <si>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</si>
  <si>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</si>
  <si>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</si>
  <si>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</si>
  <si>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</si>
  <si>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</si>
  <si>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</si>
  <si>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</si>
  <si>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</si>
  <si>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</si>
  <si>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</si>
  <si>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</si>
  <si>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</si>
  <si>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</si>
  <si>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</si>
  <si>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</si>
  <si>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</si>
  <si>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</si>
  <si>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</si>
  <si>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</si>
  <si>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</si>
  <si>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</si>
  <si>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</si>
  <si>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</si>
  <si>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</si>
  <si>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</si>
  <si>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</si>
  <si>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</si>
  <si>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</si>
  <si>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</si>
  <si>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</si>
  <si>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</si>
  <si>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</si>
  <si>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</si>
  <si>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</si>
  <si>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</si>
  <si>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</si>
  <si>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</si>
  <si>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</si>
  <si>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</si>
  <si>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</si>
  <si>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</si>
  <si>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</si>
  <si>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</si>
  <si>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</si>
  <si>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</si>
  <si>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</si>
  <si>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</si>
  <si>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</si>
  <si>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</si>
  <si>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</si>
  <si>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</si>
  <si>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</si>
  <si>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</si>
  <si>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</si>
  <si>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</si>
  <si>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</si>
  <si>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</si>
  <si>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</si>
  <si>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</si>
  <si>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</si>
  <si>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</si>
  <si>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</si>
  <si>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</si>
  <si>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</si>
  <si>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</si>
  <si>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</si>
  <si>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</si>
  <si>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</si>
  <si>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</si>
  <si>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</si>
  <si>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</si>
  <si>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</si>
  <si>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</si>
  <si>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</si>
  <si>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</si>
  <si>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</si>
  <si>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</si>
  <si>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</si>
  <si>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</si>
  <si>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</si>
  <si>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</si>
  <si>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</si>
  <si>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</si>
  <si>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</si>
  <si>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</si>
  <si>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</si>
  <si>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</si>
  <si>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</si>
  <si>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</si>
  <si>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</si>
  <si>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</si>
  <si>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</si>
  <si>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</si>
  <si>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</si>
  <si>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</si>
  <si>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</si>
  <si>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</si>
  <si>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</si>
  <si>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</si>
  <si>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</si>
  <si>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</si>
  <si>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</si>
  <si>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</si>
  <si>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</si>
  <si>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</si>
  <si>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</si>
  <si>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</si>
  <si>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</si>
  <si>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</si>
  <si>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</si>
  <si>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</si>
  <si>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</si>
  <si>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</si>
  <si>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</si>
  <si>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</si>
  <si>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</si>
  <si>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</si>
  <si>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</si>
  <si>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</si>
  <si>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</si>
  <si>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</si>
  <si>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</si>
  <si>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</si>
  <si>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</si>
  <si>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</si>
  <si>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</si>
  <si>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</si>
  <si>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</si>
  <si>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</si>
  <si>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</si>
  <si>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</si>
  <si>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</si>
  <si>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</si>
  <si>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</si>
  <si>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</si>
  <si>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</si>
  <si>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</si>
  <si>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</si>
  <si>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</si>
  <si>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</si>
  <si>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</si>
  <si>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</si>
  <si>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</si>
  <si>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</si>
  <si>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</si>
  <si>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</si>
  <si>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</si>
  <si>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</si>
  <si>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</si>
  <si>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</si>
  <si>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</si>
  <si>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</si>
  <si>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</si>
  <si>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</si>
  <si>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</si>
  <si>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</si>
  <si>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</si>
  <si>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</si>
  <si>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</si>
  <si>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</si>
  <si>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</si>
  <si>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</si>
  <si>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</si>
  <si>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</si>
  <si>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</si>
  <si>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</si>
  <si>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</si>
  <si>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</si>
  <si>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</si>
  <si>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</si>
  <si>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</si>
  <si>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</si>
  <si>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</si>
  <si>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</si>
  <si>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</si>
  <si>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</si>
  <si>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</si>
  <si>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</si>
  <si>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</si>
  <si>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</si>
  <si>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</si>
  <si>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</si>
  <si>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</si>
  <si>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</si>
  <si>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</si>
  <si>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</si>
  <si>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</si>
  <si>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</si>
  <si>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</si>
  <si>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</si>
  <si>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</si>
  <si>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</si>
  <si>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</si>
  <si>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</si>
  <si>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</si>
  <si>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</si>
  <si>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</si>
  <si>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</si>
  <si>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</si>
  <si>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</si>
  <si>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</si>
  <si>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</si>
  <si>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</si>
  <si>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</si>
  <si>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</si>
  <si>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</si>
  <si>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</si>
  <si>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</si>
  <si>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</si>
  <si>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</si>
  <si>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</si>
  <si>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</si>
  <si>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</si>
  <si>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</si>
  <si>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</si>
  <si>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</si>
  <si>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</si>
  <si>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</si>
  <si>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</si>
  <si>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</si>
  <si>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</si>
  <si>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</si>
  <si>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</si>
  <si>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</si>
  <si>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</si>
  <si>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</si>
  <si>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</si>
  <si>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</si>
  <si>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</si>
  <si>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</si>
  <si>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</si>
  <si>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</si>
  <si>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</si>
  <si>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</si>
  <si>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</si>
  <si>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</si>
  <si>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</si>
  <si>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</si>
  <si>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</si>
  <si>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</si>
  <si>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</si>
  <si>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</si>
  <si>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</si>
  <si>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</si>
  <si>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</si>
  <si>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</si>
  <si>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</si>
  <si>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</si>
  <si>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</si>
  <si>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</si>
  <si>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</si>
  <si>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</si>
  <si>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</si>
  <si>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</si>
  <si>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</si>
  <si>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</si>
  <si>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</si>
  <si>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</si>
  <si>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</si>
  <si>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</si>
  <si>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</si>
  <si>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</si>
  <si>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</si>
  <si>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</si>
  <si>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</si>
  <si>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</si>
  <si>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</si>
  <si>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</si>
  <si>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</si>
  <si>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</si>
  <si>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</si>
  <si>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</si>
  <si>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</si>
  <si>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</si>
  <si>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</si>
  <si>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</si>
  <si>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</si>
  <si>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</si>
  <si>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</si>
  <si>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</si>
  <si>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</si>
  <si>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</si>
  <si>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</si>
  <si>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</si>
  <si>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</si>
  <si>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</si>
  <si>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</si>
  <si>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</si>
  <si>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</si>
  <si>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</si>
  <si>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</si>
  <si>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</si>
  <si>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</si>
  <si>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</si>
  <si>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</si>
  <si>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</si>
  <si>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</si>
  <si>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</si>
  <si>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</si>
  <si>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</si>
  <si>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</si>
  <si>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</si>
  <si>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</si>
  <si>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</si>
  <si>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</si>
  <si>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</si>
  <si>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</si>
  <si>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</si>
  <si>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</si>
  <si>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</si>
  <si>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</si>
  <si>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</si>
  <si>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</si>
  <si>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</si>
  <si>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</si>
  <si>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</si>
  <si>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</si>
  <si>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</si>
  <si>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</si>
  <si>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</si>
  <si>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</si>
  <si>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</si>
  <si>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</si>
  <si>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</si>
  <si>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</si>
  <si>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</si>
  <si>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</si>
  <si>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</si>
  <si>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</si>
  <si>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</si>
  <si>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</si>
  <si>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</si>
  <si>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</si>
  <si>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</si>
  <si>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</si>
  <si>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</si>
  <si>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</si>
  <si>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</si>
  <si>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</si>
  <si>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</si>
  <si>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</si>
  <si>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</si>
  <si>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</si>
  <si>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</si>
  <si>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</si>
  <si>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</si>
  <si>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</si>
  <si>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</si>
  <si>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</si>
  <si>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</si>
  <si>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</si>
  <si>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</si>
  <si>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</si>
  <si>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</si>
  <si>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</si>
  <si>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</si>
  <si>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</si>
  <si>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</si>
  <si>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</si>
  <si>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</si>
  <si>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</si>
  <si>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</si>
  <si>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</si>
  <si>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</si>
  <si>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</si>
  <si>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</si>
  <si>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</si>
  <si>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</si>
  <si>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</si>
  <si>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</si>
  <si>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</si>
  <si>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</si>
  <si>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</si>
  <si>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</si>
  <si>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</si>
  <si>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</si>
  <si>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</si>
  <si>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</si>
  <si>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</si>
  <si>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</si>
  <si>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</si>
  <si>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</si>
  <si>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</si>
  <si>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</si>
  <si>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</si>
  <si>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</si>
  <si>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</si>
  <si>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</si>
  <si>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</si>
  <si>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</si>
  <si>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</si>
  <si>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</si>
  <si>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</si>
  <si>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</si>
  <si>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</si>
  <si>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</si>
  <si>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</si>
  <si>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</si>
  <si>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</si>
  <si>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</si>
  <si>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</si>
  <si>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</si>
  <si>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</si>
  <si>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</si>
  <si>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</si>
  <si>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</si>
  <si>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</si>
  <si>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</si>
  <si>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</si>
  <si>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</si>
  <si>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</si>
  <si>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</si>
  <si>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</si>
  <si>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</si>
  <si>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</si>
  <si>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</si>
  <si>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</si>
  <si>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</si>
  <si>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</si>
  <si>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</si>
  <si>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</si>
  <si>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</si>
  <si>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</si>
  <si>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</si>
  <si>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</si>
  <si>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</si>
  <si>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</si>
  <si>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</si>
  <si>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</si>
  <si>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</si>
  <si>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</si>
  <si>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</si>
  <si>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</si>
  <si>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</si>
  <si>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</si>
  <si>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</si>
  <si>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</si>
  <si>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</si>
  <si>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</si>
  <si>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</si>
  <si>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</si>
  <si>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</si>
  <si>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</si>
  <si>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</si>
  <si>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</si>
  <si>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</si>
  <si>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</si>
  <si>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</si>
  <si>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</si>
  <si>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</si>
  <si>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</si>
  <si>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</si>
  <si>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</si>
  <si>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</si>
  <si>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</si>
  <si>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</si>
  <si>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</si>
  <si>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</si>
  <si>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</si>
  <si>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</si>
  <si>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</si>
  <si>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</si>
  <si>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</si>
  <si>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</si>
  <si>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</si>
  <si>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</si>
  <si>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</si>
  <si>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</si>
  <si>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</si>
  <si>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</si>
  <si>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</si>
  <si>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</si>
  <si>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</si>
  <si>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</si>
  <si>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</si>
  <si>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</si>
  <si>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</si>
  <si>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</si>
  <si>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</si>
  <si>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</si>
  <si>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</si>
  <si>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</si>
  <si>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</si>
  <si>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</si>
  <si>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</si>
  <si>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</si>
  <si>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</si>
  <si>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</si>
  <si>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</si>
  <si>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</si>
  <si>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</si>
  <si>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</si>
  <si>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</si>
  <si>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</si>
  <si>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</si>
  <si>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</si>
  <si>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</si>
  <si>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</si>
  <si>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</si>
  <si>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</si>
  <si>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</si>
  <si>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</si>
  <si>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</si>
  <si>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</si>
  <si>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</si>
  <si>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</si>
  <si>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</si>
  <si>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</si>
  <si>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</si>
  <si>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</si>
  <si>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</si>
  <si>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</si>
  <si>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</si>
  <si>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</si>
  <si>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</si>
  <si>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</si>
  <si>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</si>
  <si>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</si>
  <si>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</si>
  <si>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</si>
  <si>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</si>
  <si>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</si>
  <si>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</si>
  <si>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</si>
  <si>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</si>
  <si>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</si>
  <si>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</si>
  <si>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</si>
  <si>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</si>
  <si>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</si>
  <si>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</si>
  <si>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</si>
  <si>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</si>
  <si>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</si>
  <si>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</si>
  <si>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</si>
  <si>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</si>
  <si>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</si>
  <si>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</si>
  <si>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</si>
  <si>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</si>
  <si>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</si>
  <si>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</si>
  <si>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</si>
  <si>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</si>
  <si>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</si>
  <si>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</si>
  <si>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</si>
  <si>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</si>
  <si>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</si>
  <si>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</si>
  <si>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</si>
  <si>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</si>
  <si>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</si>
  <si>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</si>
  <si>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</si>
  <si>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</si>
  <si>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</si>
  <si>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</si>
  <si>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</si>
  <si>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</si>
  <si>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</si>
  <si>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</si>
  <si>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</si>
  <si>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</si>
  <si>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</si>
  <si>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</si>
  <si>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</si>
  <si>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</si>
  <si>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</si>
  <si>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</si>
  <si>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</si>
  <si>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</si>
  <si>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</si>
  <si>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</si>
  <si>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</si>
  <si>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</si>
  <si>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</si>
  <si>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</si>
  <si>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</si>
  <si>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</si>
  <si>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</si>
  <si>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</si>
  <si>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</si>
  <si>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</si>
  <si>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</si>
  <si>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</si>
  <si>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</si>
  <si>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</si>
  <si>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</si>
  <si>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</si>
  <si>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</si>
  <si>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</si>
  <si>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</si>
  <si>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</si>
  <si>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</si>
  <si>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</si>
  <si>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</si>
  <si>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</si>
  <si>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</si>
  <si>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</si>
  <si>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</si>
  <si>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</si>
  <si>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</si>
  <si>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</si>
  <si>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</si>
  <si>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</si>
  <si>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</si>
  <si>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</si>
  <si>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</si>
  <si>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</si>
  <si>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</si>
  <si>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</si>
  <si>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</si>
  <si>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</si>
  <si>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</si>
  <si>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</si>
  <si>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</si>
  <si>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</si>
  <si>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</si>
  <si>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</si>
  <si>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</si>
  <si>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</si>
  <si>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</si>
  <si>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</si>
  <si>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</si>
  <si>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</si>
  <si>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</si>
  <si>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</si>
  <si>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</si>
  <si>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</si>
  <si>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</si>
  <si>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</si>
  <si>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</si>
  <si>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</si>
  <si>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</si>
  <si>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</si>
  <si>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</si>
  <si>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</si>
  <si>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</si>
  <si>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</si>
  <si>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</si>
  <si>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</si>
  <si>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</si>
  <si>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</si>
  <si>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</si>
  <si>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</si>
  <si>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</si>
  <si>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</si>
  <si>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</si>
  <si>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</si>
  <si>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</si>
  <si>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</si>
  <si>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</si>
  <si>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</si>
  <si>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</si>
  <si>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</si>
  <si>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</si>
  <si>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</si>
  <si>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</si>
  <si>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</si>
  <si>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</si>
  <si>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</si>
  <si>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</si>
  <si>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</si>
  <si>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</si>
  <si>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</si>
  <si>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</si>
  <si>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</si>
  <si>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</si>
  <si>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</si>
  <si>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</si>
  <si>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</si>
  <si>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</si>
  <si>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</si>
  <si>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</si>
  <si>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</si>
  <si>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</si>
  <si>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</si>
  <si>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</si>
  <si>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</si>
  <si>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</si>
  <si>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</si>
  <si>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</si>
  <si>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</si>
  <si>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</si>
  <si>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</si>
  <si>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</si>
  <si>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</si>
  <si>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</si>
  <si>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</si>
  <si>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</si>
  <si>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</si>
  <si>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</si>
  <si>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</si>
  <si>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</si>
  <si>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</si>
  <si>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</si>
  <si>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</si>
  <si>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</si>
  <si>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</si>
  <si>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</si>
  <si>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</si>
  <si>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</si>
  <si>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</si>
  <si>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</si>
  <si>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</si>
  <si>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</si>
  <si>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</si>
  <si>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</si>
  <si>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</si>
  <si>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</si>
  <si>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</si>
  <si>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</si>
  <si>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</si>
  <si>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</si>
  <si>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</si>
  <si>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</si>
  <si>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</si>
  <si>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</si>
  <si>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</si>
  <si>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</si>
  <si>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</si>
  <si>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</si>
  <si>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</si>
  <si>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</si>
  <si>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</si>
  <si>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</si>
  <si>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</si>
  <si>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</si>
  <si>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</si>
  <si>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</si>
  <si>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</si>
  <si>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</si>
  <si>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</si>
  <si>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</si>
  <si>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</si>
  <si>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</si>
  <si>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</si>
  <si>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</si>
  <si>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</si>
  <si>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</si>
  <si>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</si>
  <si>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</si>
  <si>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</si>
  <si>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</si>
  <si>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</si>
  <si>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</si>
  <si>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</si>
  <si>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</si>
  <si>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</si>
  <si>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</si>
  <si>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</si>
  <si>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</si>
  <si>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</si>
  <si>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</si>
  <si>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</si>
  <si>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</si>
  <si>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</si>
  <si>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</si>
  <si>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</si>
  <si>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</si>
  <si>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</si>
  <si>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</si>
  <si>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</si>
  <si>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</si>
  <si>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</si>
  <si>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</si>
  <si>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</si>
  <si>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</si>
  <si>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</si>
  <si>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</si>
  <si>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</si>
  <si>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</si>
  <si>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</si>
  <si>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</si>
  <si>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</si>
  <si>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</si>
  <si>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</si>
  <si>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</si>
  <si>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</si>
  <si>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</si>
  <si>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</si>
  <si>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</si>
  <si>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</si>
  <si>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</si>
  <si>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</si>
  <si>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</si>
  <si>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</si>
  <si>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</si>
  <si>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</si>
  <si>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</si>
  <si>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</si>
  <si>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</si>
  <si>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</si>
  <si>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</si>
  <si>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</si>
  <si>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</si>
  <si>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</si>
  <si>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</si>
  <si>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</si>
  <si>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</si>
  <si>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</si>
  <si>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</si>
  <si>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</si>
  <si>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</si>
  <si>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</si>
  <si>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</si>
  <si>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</si>
  <si>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</si>
  <si>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</si>
  <si>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</si>
  <si>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</si>
  <si>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</si>
  <si>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</si>
  <si>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</si>
  <si>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</si>
  <si>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</si>
  <si>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</si>
  <si>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</si>
  <si>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</si>
  <si>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</si>
  <si>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</si>
  <si>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</si>
  <si>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</si>
  <si>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</si>
  <si>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</si>
  <si>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</si>
  <si>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</si>
  <si>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</si>
  <si>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</si>
  <si>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</si>
  <si>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</si>
  <si>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</si>
  <si>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</si>
  <si>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</si>
  <si>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</si>
  <si>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</si>
  <si>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</si>
  <si>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</si>
  <si>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</si>
  <si>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</si>
  <si>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</si>
  <si>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</si>
  <si>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</si>
  <si>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</si>
  <si>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</si>
  <si>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</si>
  <si>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</si>
  <si>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</si>
  <si>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</si>
  <si>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</si>
  <si>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</si>
  <si>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</si>
  <si>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</si>
  <si>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</si>
  <si>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</si>
  <si>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</si>
  <si>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</si>
  <si>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</si>
  <si>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</si>
  <si>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</si>
  <si>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</si>
  <si>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</si>
  <si>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</si>
  <si>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</si>
  <si>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</si>
  <si>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</si>
  <si>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</si>
  <si>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</si>
  <si>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</si>
  <si>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</si>
  <si>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</si>
  <si>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</si>
  <si>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</si>
  <si>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</si>
  <si>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</si>
  <si>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</si>
  <si>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</si>
  <si>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</si>
  <si>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</si>
  <si>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</si>
  <si>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</si>
  <si>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</si>
  <si>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</si>
  <si>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</si>
  <si>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</si>
  <si>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</si>
  <si>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</si>
  <si>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</si>
  <si>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</si>
  <si>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</si>
  <si>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</si>
  <si>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</si>
  <si>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</si>
  <si>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</si>
  <si>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</si>
  <si>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</si>
  <si>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</si>
  <si>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</si>
  <si>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</si>
  <si>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</si>
  <si>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</si>
  <si>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</si>
  <si>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</si>
  <si>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</si>
  <si>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</si>
  <si>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</si>
  <si>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</si>
  <si>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</si>
  <si>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</si>
  <si>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</si>
  <si>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</si>
  <si>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</si>
  <si>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</si>
  <si>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</si>
  <si>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</si>
  <si>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</si>
  <si>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</si>
  <si>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</si>
  <si>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</si>
  <si>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</si>
  <si>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</si>
  <si>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</si>
  <si>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</si>
  <si>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</si>
  <si>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</si>
  <si>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</si>
  <si>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</si>
  <si>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</si>
  <si>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</si>
  <si>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</si>
  <si>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</si>
  <si>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</si>
  <si>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</si>
  <si>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</si>
  <si>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</si>
  <si>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</si>
  <si>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</si>
  <si>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</si>
  <si>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</si>
  <si>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</si>
  <si>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</si>
  <si>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</si>
  <si>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</si>
  <si>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</si>
  <si>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</si>
  <si>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</si>
  <si>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</si>
  <si>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</si>
  <si>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</si>
  <si>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</si>
  <si>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</si>
  <si>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</si>
  <si>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</si>
  <si>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</si>
  <si>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</si>
  <si>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</si>
  <si>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</si>
  <si>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</si>
  <si>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</si>
  <si>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</si>
  <si>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</si>
  <si>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</si>
  <si>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</si>
  <si>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</si>
  <si>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</si>
  <si>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</si>
  <si>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</si>
  <si>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</si>
  <si>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</si>
  <si>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</si>
  <si>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</si>
  <si>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</si>
  <si>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</si>
  <si>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</si>
  <si>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</si>
  <si>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</si>
  <si>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</si>
  <si>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</si>
  <si>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</si>
  <si>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</si>
  <si>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</si>
  <si>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</si>
  <si>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</si>
  <si>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</si>
  <si>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</si>
  <si>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</si>
  <si>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</si>
  <si>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</si>
  <si>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</si>
  <si>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</si>
  <si>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</si>
  <si>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</si>
  <si>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</si>
  <si>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</si>
  <si>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</si>
  <si>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</si>
  <si>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</si>
  <si>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</si>
  <si>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</si>
  <si>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</si>
  <si>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</si>
  <si>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</si>
  <si>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</si>
  <si>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</si>
  <si>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</si>
  <si>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</si>
  <si>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</si>
  <si>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</si>
  <si>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</si>
  <si>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</si>
  <si>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</si>
  <si>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</si>
  <si>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</si>
  <si>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</si>
  <si>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</si>
  <si>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</si>
  <si>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</si>
  <si>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</si>
  <si>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</si>
  <si>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</si>
  <si>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</si>
  <si>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</si>
  <si>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</si>
  <si>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</si>
  <si>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</si>
  <si>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</si>
  <si>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</si>
  <si>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</si>
  <si>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</si>
  <si>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</si>
  <si>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</si>
  <si>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</si>
  <si>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</si>
  <si>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</si>
  <si>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</si>
  <si>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</si>
  <si>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</si>
  <si>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</si>
  <si>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</si>
  <si>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</si>
  <si>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</si>
  <si>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</si>
  <si>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</si>
  <si>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</si>
  <si>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</si>
  <si>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</si>
  <si>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</si>
  <si>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</si>
  <si>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</si>
  <si>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</si>
  <si>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</si>
  <si>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</si>
  <si>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</si>
  <si>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</si>
  <si>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</si>
  <si>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</si>
  <si>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</si>
  <si>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</si>
  <si>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</si>
  <si>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</si>
  <si>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</si>
  <si>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</si>
  <si>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</si>
  <si>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</si>
  <si>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</si>
  <si>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</si>
  <si>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</si>
  <si>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</si>
  <si>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</si>
  <si>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</si>
  <si>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</si>
  <si>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</si>
  <si>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</si>
  <si>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</si>
  <si>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</si>
  <si>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</si>
  <si>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</si>
  <si>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</si>
  <si>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</si>
  <si>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</si>
  <si>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</si>
  <si>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</si>
  <si>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</si>
  <si>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</si>
  <si>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</si>
  <si>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</si>
  <si>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</si>
  <si>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</si>
  <si>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</si>
  <si>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</si>
  <si>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</si>
  <si>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</si>
  <si>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</si>
  <si>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</si>
  <si>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</si>
  <si>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</si>
  <si>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</si>
  <si>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</si>
  <si>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</si>
  <si>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</si>
  <si>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</si>
  <si>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</si>
  <si>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</si>
  <si>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</si>
  <si>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</si>
  <si>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</si>
  <si>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</si>
  <si>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</si>
  <si>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</si>
  <si>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</si>
  <si>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</si>
  <si>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</si>
  <si>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</si>
  <si>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</si>
  <si>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Cinthia Thais de Carvalho Luz Thomazi; Adriana Cuoco Portugal; Fernanda Viana de Souza;  Priscila Nolasco; Luiz Felipe Tenório de Lima Gondim</t>
  </si>
  <si>
    <t>21/08/2026</t>
  </si>
  <si>
    <t>Cinthia Thais de Carvalho Luz Thomazi; Adriana Cuoco Portugal; Fernanda Viana de Souza; Denise Duarte Guirra Kuhlmann;  Priscila Nolasco; Luiz Felipe Tenório de Lima Gondim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</si>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</sst>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opLeftCell="H1" zoomScaleNormal="100" workbookViewId="0">
      <pane ySplit="1" topLeftCell="I700" activePane="bottomLeft" state="frozen"/>
      <selection pane="bottomLeft" activeCell="T705" sqref="T705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43" t="s">
        <v>2840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2841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43" t="s">
        <v>2840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2842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43" t="s">
        <v>2840</v>
      </c>
    </row>
    <row r="709" spans="1:20" ht="23.25" customHeight="1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2843</v>
      </c>
      <c r="E709" s="210" t="s">
        <v>2844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2845</v>
      </c>
      <c r="E710" s="210" t="s">
        <v>2846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2847</v>
      </c>
    </row>
    <row r="711" spans="1:20" ht="23.25" customHeight="1">
      <c r="A711" s="208" t="str">
        <f>IF(B711="","",B711&amp;"-"&amp;TEXT(COUNTIF(B$2:B711,B711),"000"))</f>
        <v>2026-055</v>
      </c>
      <c r="B711" s="209">
        <v>2026</v>
      </c>
      <c r="C711" s="218" t="s">
        <v>2765</v>
      </c>
      <c r="D711" s="209" t="s">
        <v>2739</v>
      </c>
      <c r="E711" s="210" t="s">
        <v>2836</v>
      </c>
      <c r="F711" s="211" t="s">
        <v>81</v>
      </c>
      <c r="G711" s="260" t="s">
        <v>2727</v>
      </c>
      <c r="H711" s="212" t="s">
        <v>2848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08"/>
    </row>
    <row r="712" spans="1:20" ht="23.25" customHeight="1">
      <c r="A712" s="217" t="str">
        <f>IF(B712="","",B712&amp;"-"&amp;TEXT(COUNTIF(B$2:B712,B712),"000"))</f>
        <v>2026-056</v>
      </c>
      <c r="B712" s="218">
        <v>2026</v>
      </c>
      <c r="C712" s="218" t="s">
        <v>2765</v>
      </c>
      <c r="D712" s="218" t="s">
        <v>2739</v>
      </c>
      <c r="E712" s="210" t="s">
        <v>2836</v>
      </c>
      <c r="F712" s="220" t="s">
        <v>81</v>
      </c>
      <c r="G712" s="269" t="s">
        <v>2727</v>
      </c>
      <c r="H712" s="221" t="s">
        <v>2849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77" activePane="bottomLeft" state="frozen"/>
      <selection pane="bottomLeft" activeCell="D83" sqref="D83"/>
    </sheetView>
  </sheetViews>
  <sheetFormatPr defaultRowHeight="15" outlineLevelCol="1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>
      <c r="A1" s="96" t="s">
        <v>1</v>
      </c>
      <c r="B1" s="96" t="s">
        <v>2850</v>
      </c>
      <c r="C1" s="96" t="s">
        <v>2851</v>
      </c>
      <c r="D1" s="96" t="s">
        <v>4</v>
      </c>
      <c r="E1" s="96" t="s">
        <v>2852</v>
      </c>
      <c r="F1" s="96" t="s">
        <v>19</v>
      </c>
      <c r="G1" s="96" t="s">
        <v>2853</v>
      </c>
      <c r="H1" s="96" t="s">
        <v>2854</v>
      </c>
      <c r="I1" s="96" t="s">
        <v>2855</v>
      </c>
      <c r="J1" s="96" t="s">
        <v>2856</v>
      </c>
      <c r="L1" s="129" t="s">
        <v>2857</v>
      </c>
      <c r="M1" s="100">
        <v>2026</v>
      </c>
      <c r="U1" s="162" t="s">
        <v>2858</v>
      </c>
      <c r="V1" s="161"/>
      <c r="X1" s="159" t="s">
        <v>2859</v>
      </c>
      <c r="Y1" s="107"/>
      <c r="Z1" s="107"/>
      <c r="AA1" s="107"/>
      <c r="AC1" s="253" t="s">
        <v>2860</v>
      </c>
    </row>
    <row r="2" spans="1:31">
      <c r="A2" s="98" cm="1">
        <f t="array" ref="A2:J108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2850</v>
      </c>
      <c r="Y2" s="160" t="s">
        <v>19</v>
      </c>
      <c r="Z2" s="160" t="s">
        <v>2861</v>
      </c>
      <c r="AA2" s="160" t="s">
        <v>2862</v>
      </c>
      <c r="AC2" s="254" t="s">
        <v>1</v>
      </c>
      <c r="AD2" s="254" t="s">
        <v>2863</v>
      </c>
      <c r="AE2" s="254" t="s">
        <v>2864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2865</v>
      </c>
      <c r="M3" s="19" t="s">
        <v>2866</v>
      </c>
      <c r="N3" s="19" t="s">
        <v>2867</v>
      </c>
      <c r="O3" s="19" t="s">
        <v>2868</v>
      </c>
      <c r="P3" s="19" t="s">
        <v>2869</v>
      </c>
      <c r="Q3" s="19" t="s">
        <v>2870</v>
      </c>
      <c r="R3" s="19" t="s">
        <v>2871</v>
      </c>
      <c r="S3" s="19" t="s">
        <v>2872</v>
      </c>
      <c r="T3" s="19" t="s">
        <v>2873</v>
      </c>
      <c r="X3" t="s">
        <v>2874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2875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2876</v>
      </c>
      <c r="Y5" t="s">
        <v>2713</v>
      </c>
      <c r="Z5">
        <v>1</v>
      </c>
      <c r="AA5">
        <v>0.6</v>
      </c>
      <c r="AC5" s="248">
        <v>2026</v>
      </c>
      <c r="AD5" s="95" t="s">
        <v>2877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2876</v>
      </c>
      <c r="Y6" t="s">
        <v>2878</v>
      </c>
      <c r="Z6">
        <v>1</v>
      </c>
      <c r="AA6">
        <v>0</v>
      </c>
      <c r="AC6" s="248">
        <v>2026</v>
      </c>
      <c r="AD6" s="95" t="s">
        <v>2879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2880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2881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2881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2881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2881</v>
      </c>
      <c r="Y11" s="95" t="s">
        <v>2882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2881</v>
      </c>
      <c r="Y12" s="95" t="s">
        <v>2883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2884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2884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2884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2884</v>
      </c>
      <c r="Y16" s="95" t="s">
        <v>2882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2884</v>
      </c>
      <c r="Y17" s="95" t="s">
        <v>2883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2885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2885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2885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2885</v>
      </c>
      <c r="Y21" s="95" t="s">
        <v>2882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2885</v>
      </c>
      <c r="Y22" s="95" t="s">
        <v>2883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2886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2886</v>
      </c>
      <c r="Y24" s="95" t="s">
        <v>2878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2887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2887</v>
      </c>
      <c r="Y26" s="95" t="s">
        <v>2888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2889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2889</v>
      </c>
      <c r="Y28" s="95" t="s">
        <v>2878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2890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2890</v>
      </c>
      <c r="Y30" s="95" t="s">
        <v>2878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2891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2892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2892</v>
      </c>
      <c r="Y33" t="s">
        <v>2893</v>
      </c>
      <c r="Z33">
        <v>4</v>
      </c>
      <c r="AA33">
        <v>0.6</v>
      </c>
      <c r="AC33" s="250"/>
      <c r="AD33" s="251" t="s">
        <v>2894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2892</v>
      </c>
      <c r="Y34" t="s">
        <v>2895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2892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2892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2896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2896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2897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2898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Cinthia Thais de Carvalho Luz Thomazi; Adriana Cuoco Portugal; Fernanda Viana de Souza;  Priscila Nolasco; Luiz Felipe Tenório de Lima Gondim</v>
      </c>
      <c r="R41">
        <v>5</v>
      </c>
      <c r="S41">
        <v>86</v>
      </c>
      <c r="T41">
        <v>81</v>
      </c>
      <c r="X41" t="s">
        <v>2899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92</v>
      </c>
      <c r="T42">
        <v>86</v>
      </c>
      <c r="X42" t="s">
        <v>2899</v>
      </c>
      <c r="Y42" t="s">
        <v>2847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98</v>
      </c>
      <c r="T43">
        <v>92</v>
      </c>
      <c r="X43" t="s">
        <v>2900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104</v>
      </c>
      <c r="T44">
        <v>98</v>
      </c>
      <c r="X44" t="s">
        <v>2900</v>
      </c>
      <c r="Y44" s="95" t="s">
        <v>2878</v>
      </c>
      <c r="AA44">
        <v>0</v>
      </c>
    </row>
    <row r="45" spans="1:31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105</v>
      </c>
      <c r="T45">
        <v>104</v>
      </c>
      <c r="X45" t="s">
        <v>2901</v>
      </c>
      <c r="Y45" t="s">
        <v>2902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>
        <v>0</v>
      </c>
      <c r="R46">
        <v>1</v>
      </c>
      <c r="S46">
        <v>106</v>
      </c>
      <c r="T46">
        <v>105</v>
      </c>
      <c r="X46" t="s">
        <v>2901</v>
      </c>
      <c r="Y46" t="s">
        <v>2903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>
        <v>0</v>
      </c>
      <c r="R47">
        <v>1</v>
      </c>
      <c r="S47">
        <v>107</v>
      </c>
      <c r="T47">
        <v>106</v>
      </c>
      <c r="X47" t="s">
        <v>2901</v>
      </c>
      <c r="Y47" t="s">
        <v>2904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107</v>
      </c>
      <c r="X48" t="s">
        <v>2901</v>
      </c>
      <c r="Y48" t="s">
        <v>2905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2901</v>
      </c>
      <c r="Y49" t="s">
        <v>2906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2901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2901</v>
      </c>
      <c r="Y51" t="s">
        <v>2907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2901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2901</v>
      </c>
      <c r="Y53" t="s">
        <v>2908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2901</v>
      </c>
      <c r="Y54" t="s">
        <v>2909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Cinthia Thais de Carvalho Luz Thomazi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Adriana Cuoco Portugal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Priscila Nolasco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Luiz Felipe Tenório de Lima Gondim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Cinthia Thais de Carvalho Luz Thomazi</v>
      </c>
      <c r="G88">
        <v>6</v>
      </c>
      <c r="H88">
        <v>4</v>
      </c>
      <c r="I88">
        <v>0.19999999999999998</v>
      </c>
      <c r="J88">
        <v>4.2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Adriana Cuoco Portugal</v>
      </c>
      <c r="G89">
        <v>6</v>
      </c>
      <c r="H89">
        <v>4</v>
      </c>
      <c r="I89">
        <v>0.19999999999999998</v>
      </c>
      <c r="J89">
        <v>4.2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6</v>
      </c>
      <c r="H90">
        <v>4</v>
      </c>
      <c r="I90">
        <v>0.19999999999999998</v>
      </c>
      <c r="J90">
        <v>4.2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Denise Duarte Guirra Kuhlmann</v>
      </c>
      <c r="G91">
        <v>6</v>
      </c>
      <c r="H91">
        <v>4</v>
      </c>
      <c r="I91">
        <v>0.19999999999999998</v>
      </c>
      <c r="J91">
        <v>4.2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</v>
      </c>
      <c r="G92">
        <v>6</v>
      </c>
      <c r="H92">
        <v>4</v>
      </c>
      <c r="I92">
        <v>0.19999999999999998</v>
      </c>
      <c r="J92">
        <v>4.2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4</v>
      </c>
      <c r="F93" t="str">
        <v>Luiz Felipe Tenório de Lima Gondim</v>
      </c>
      <c r="G93">
        <v>6</v>
      </c>
      <c r="H93">
        <v>4</v>
      </c>
      <c r="I93">
        <v>0.19999999999999998</v>
      </c>
      <c r="J93">
        <v>4.2</v>
      </c>
      <c r="R93" t="str">
        <v/>
      </c>
      <c r="S93" t="str">
        <v/>
      </c>
    </row>
    <row r="94" spans="1:19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6</v>
      </c>
      <c r="H94">
        <v>4</v>
      </c>
      <c r="I94">
        <v>0.19999999999999998</v>
      </c>
      <c r="J94">
        <v>4.2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Adriana Cuoco Portugal</v>
      </c>
      <c r="G95">
        <v>6</v>
      </c>
      <c r="H95">
        <v>4</v>
      </c>
      <c r="I95">
        <v>0.19999999999999998</v>
      </c>
      <c r="J95">
        <v>4.2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Fernanda Viana de Souza</v>
      </c>
      <c r="G96">
        <v>6</v>
      </c>
      <c r="H96">
        <v>4</v>
      </c>
      <c r="I96">
        <v>0.19999999999999998</v>
      </c>
      <c r="J96">
        <v>4.2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Denise Duarte Guirra Kuhlmann</v>
      </c>
      <c r="G97">
        <v>6</v>
      </c>
      <c r="H97">
        <v>4</v>
      </c>
      <c r="I97">
        <v>0.19999999999999998</v>
      </c>
      <c r="J97">
        <v>4.2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4</v>
      </c>
      <c r="F98" t="str">
        <v>Priscila Nolasco</v>
      </c>
      <c r="G98">
        <v>6</v>
      </c>
      <c r="H98">
        <v>4</v>
      </c>
      <c r="I98">
        <v>0.19999999999999998</v>
      </c>
      <c r="J98">
        <v>4.2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4</v>
      </c>
      <c r="F99" t="str">
        <v>Luiz Felipe Tenório de Lima Gondim</v>
      </c>
      <c r="G99">
        <v>6</v>
      </c>
      <c r="H99">
        <v>4</v>
      </c>
      <c r="I99">
        <v>0.19999999999999998</v>
      </c>
      <c r="J99">
        <v>4.2</v>
      </c>
      <c r="R99" t="str">
        <v/>
      </c>
      <c r="S99" t="str">
        <v/>
      </c>
    </row>
    <row r="100" spans="1:19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Cinthia Thais de Carvalho Luz Thomazi</v>
      </c>
      <c r="G100">
        <v>6</v>
      </c>
      <c r="H100">
        <v>4</v>
      </c>
      <c r="I100">
        <v>0.19999999999999998</v>
      </c>
      <c r="J100">
        <v>4.2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Adriana Cuoco Portugal</v>
      </c>
      <c r="G101">
        <v>6</v>
      </c>
      <c r="H101">
        <v>4</v>
      </c>
      <c r="I101">
        <v>0.19999999999999998</v>
      </c>
      <c r="J101">
        <v>4.2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Fernanda Viana de Souza</v>
      </c>
      <c r="G102">
        <v>6</v>
      </c>
      <c r="H102">
        <v>4</v>
      </c>
      <c r="I102">
        <v>0.19999999999999998</v>
      </c>
      <c r="J102">
        <v>4.2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4</v>
      </c>
      <c r="F103" t="str">
        <v>Denise Duarte Guirra Kuhlmann</v>
      </c>
      <c r="G103">
        <v>6</v>
      </c>
      <c r="H103">
        <v>4</v>
      </c>
      <c r="I103">
        <v>0.19999999999999998</v>
      </c>
      <c r="J103">
        <v>4.2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4</v>
      </c>
      <c r="F104" t="str">
        <v>Priscila Nolasco</v>
      </c>
      <c r="G104">
        <v>6</v>
      </c>
      <c r="H104">
        <v>4</v>
      </c>
      <c r="I104">
        <v>0.19999999999999998</v>
      </c>
      <c r="J104">
        <v>4.2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4</v>
      </c>
      <c r="F105" t="str">
        <v>Luiz Felipe Tenório de Lima Gondim</v>
      </c>
      <c r="G105">
        <v>6</v>
      </c>
      <c r="H105">
        <v>4</v>
      </c>
      <c r="I105">
        <v>0.19999999999999998</v>
      </c>
      <c r="J105">
        <v>4.2</v>
      </c>
      <c r="R105" t="str">
        <v/>
      </c>
      <c r="S105" t="str">
        <v/>
      </c>
    </row>
    <row r="106" spans="1:19">
      <c r="A106">
        <v>2026</v>
      </c>
      <c r="B106" t="str">
        <v>2026-054</v>
      </c>
      <c r="C106" t="str">
        <v>A realizar</v>
      </c>
      <c r="D106" t="str">
        <v>Oficina Temática – SEMAT: Falhas recorrentes em contratações de TI</v>
      </c>
      <c r="E106">
        <v>8</v>
      </c>
      <c r="F106" t="str">
        <v>Felipe da Costa Malaquias</v>
      </c>
      <c r="G106">
        <v>1</v>
      </c>
      <c r="H106">
        <v>8</v>
      </c>
      <c r="I106">
        <v>2.4</v>
      </c>
      <c r="J106">
        <v>10.4</v>
      </c>
      <c r="R106" t="str">
        <v/>
      </c>
      <c r="S106" t="str">
        <v/>
      </c>
    </row>
    <row r="107" spans="1:19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0</v>
      </c>
      <c r="G107">
        <v>1</v>
      </c>
      <c r="H107">
        <v>4</v>
      </c>
      <c r="I107">
        <v>1.2</v>
      </c>
      <c r="J107">
        <v>5.2</v>
      </c>
      <c r="R107" t="str">
        <v/>
      </c>
      <c r="S107" t="str">
        <v/>
      </c>
    </row>
    <row r="108" spans="1:19">
      <c r="A108">
        <v>2026</v>
      </c>
      <c r="B108" t="str">
        <v>2026-056</v>
      </c>
      <c r="C108" t="str">
        <v>A realizar</v>
      </c>
      <c r="D108" t="str">
        <v>TCendo o Futuro</v>
      </c>
      <c r="E108">
        <v>4</v>
      </c>
      <c r="F108" t="str">
        <v>0</v>
      </c>
      <c r="G108">
        <v>1</v>
      </c>
      <c r="H108">
        <v>4</v>
      </c>
      <c r="I108">
        <v>1.2</v>
      </c>
      <c r="J108">
        <v>5.2</v>
      </c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80" t="s">
        <v>2910</v>
      </c>
      <c r="B1" s="280"/>
      <c r="C1" s="280"/>
      <c r="D1" s="280"/>
      <c r="E1" s="280"/>
      <c r="F1" s="280"/>
      <c r="G1" s="280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1" t="s">
        <v>2911</v>
      </c>
      <c r="B4" s="282"/>
      <c r="D4" s="283" t="s">
        <v>2912</v>
      </c>
      <c r="E4" s="284"/>
      <c r="G4" s="125" t="s">
        <v>2913</v>
      </c>
    </row>
    <row r="5" spans="1:7" ht="54.95" customHeight="1" thickBot="1">
      <c r="A5" s="115">
        <f>COUNTIF('Ações InCompany'!B:B,2026)</f>
        <v>56</v>
      </c>
      <c r="B5" s="116" t="s">
        <v>2914</v>
      </c>
      <c r="D5" s="123">
        <f>COUNTIFS('Ações InCompany'!B:B,2026,'Ações InCompany'!C:C,"Realizado")</f>
        <v>32</v>
      </c>
      <c r="E5" s="124" t="s">
        <v>2914</v>
      </c>
      <c r="G5" s="126">
        <f>COUNTIFS('Ações InCompany'!B:B,2026,'Ações InCompany'!C:C,"A realizar")</f>
        <v>18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9" t="s">
        <v>2915</v>
      </c>
      <c r="B8" s="279"/>
      <c r="D8" s="279" t="s">
        <v>2916</v>
      </c>
      <c r="E8" s="279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2917</v>
      </c>
      <c r="D10" s="108" t="s">
        <v>2918</v>
      </c>
      <c r="E10" s="108" t="s">
        <v>2919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2920</v>
      </c>
      <c r="E11" s="110">
        <f>SUMIFS('Ações InCompany'!O:O,'Ações InCompany'!B:B,2026,'Ações InCompany'!C:C,"Realizado")</f>
        <v>502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2921</v>
      </c>
      <c r="E12" s="112">
        <f>SUMIFS('Ações InCompany'!P:P,'Ações InCompany'!B:B,2026,'Ações InCompany'!C:C,"Realizado")</f>
        <v>561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2922</v>
      </c>
      <c r="E13" s="110">
        <f>SUMIFS('Ações InCompany'!Q:Q,'Ações InCompany'!B:B,2026,'Ações InCompany'!C:C,"Realizado")</f>
        <v>411</v>
      </c>
    </row>
    <row r="14" spans="1:7" ht="27.95" customHeight="1">
      <c r="A14" s="113" t="s">
        <v>2923</v>
      </c>
      <c r="B14" s="114">
        <f>SUM(B11:B13)</f>
        <v>32</v>
      </c>
      <c r="D14" s="113" t="s">
        <v>2924</v>
      </c>
      <c r="E14" s="114">
        <f>SUM(E11:E13)</f>
        <v>1474</v>
      </c>
    </row>
    <row r="30" spans="1:5" ht="17.25">
      <c r="A30" s="279" t="s">
        <v>2925</v>
      </c>
      <c r="B30" s="279"/>
      <c r="C30" s="279"/>
      <c r="D30" s="279"/>
      <c r="E30" s="279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2926</v>
      </c>
      <c r="C32" s="108" t="s">
        <v>2927</v>
      </c>
      <c r="D32" s="108" t="s">
        <v>2928</v>
      </c>
      <c r="E32" s="108" t="s">
        <v>2929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0.06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0.02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0.04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0.24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0.08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0.04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0.14000000000000001</v>
      </c>
    </row>
    <row r="42" spans="1:5" ht="24" customHeight="1">
      <c r="A42" s="156" t="s">
        <v>2930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0.04</v>
      </c>
    </row>
    <row r="44" spans="1:5" ht="24" customHeight="1">
      <c r="A44" s="148" t="s">
        <v>2931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2923</v>
      </c>
      <c r="B45" s="121">
        <f>SUM(B33:B44)</f>
        <v>32</v>
      </c>
      <c r="C45" s="121">
        <f>SUM(C33:C44)</f>
        <v>18</v>
      </c>
      <c r="D45" s="121">
        <f>SUM(D33:D44)</f>
        <v>50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2932</v>
      </c>
      <c r="B1" s="12" t="s">
        <v>2933</v>
      </c>
      <c r="C1" s="13" t="s">
        <v>2934</v>
      </c>
      <c r="D1" s="13" t="s">
        <v>2935</v>
      </c>
      <c r="E1" s="13" t="s">
        <v>2936</v>
      </c>
    </row>
    <row r="2" spans="1:5" ht="18" customHeight="1">
      <c r="A2" s="12" t="s">
        <v>2937</v>
      </c>
      <c r="B2" s="12" t="s">
        <v>2938</v>
      </c>
      <c r="C2" s="12" t="s">
        <v>1729</v>
      </c>
      <c r="D2" s="12" t="s">
        <v>2939</v>
      </c>
      <c r="E2" s="12" t="s">
        <v>2940</v>
      </c>
    </row>
    <row r="3" spans="1:5" ht="18" customHeight="1">
      <c r="A3" s="12" t="s">
        <v>2937</v>
      </c>
      <c r="B3" s="12" t="s">
        <v>2938</v>
      </c>
      <c r="C3" s="14" t="s">
        <v>24</v>
      </c>
      <c r="D3" s="12" t="s">
        <v>2941</v>
      </c>
      <c r="E3" s="12" t="s">
        <v>2942</v>
      </c>
    </row>
    <row r="4" spans="1:5" ht="18" customHeight="1">
      <c r="A4" s="12" t="s">
        <v>2937</v>
      </c>
      <c r="B4" s="12" t="s">
        <v>2938</v>
      </c>
      <c r="C4" s="12" t="s">
        <v>68</v>
      </c>
      <c r="D4" s="12" t="s">
        <v>2939</v>
      </c>
      <c r="E4" s="12" t="s">
        <v>2943</v>
      </c>
    </row>
    <row r="5" spans="1:5" ht="18" customHeight="1">
      <c r="A5" s="12" t="s">
        <v>2937</v>
      </c>
      <c r="B5" s="12" t="s">
        <v>2938</v>
      </c>
      <c r="C5" s="12" t="s">
        <v>72</v>
      </c>
      <c r="D5" s="12" t="s">
        <v>2944</v>
      </c>
      <c r="E5" s="12" t="s">
        <v>2945</v>
      </c>
    </row>
    <row r="6" spans="1:5" ht="18" customHeight="1">
      <c r="A6" s="12" t="s">
        <v>2937</v>
      </c>
      <c r="B6" s="12" t="s">
        <v>2938</v>
      </c>
      <c r="C6" s="12" t="s">
        <v>2727</v>
      </c>
      <c r="D6" s="12" t="s">
        <v>2946</v>
      </c>
      <c r="E6" s="12" t="s">
        <v>2947</v>
      </c>
    </row>
    <row r="7" spans="1:5" ht="18" customHeight="1">
      <c r="A7" s="12" t="s">
        <v>2937</v>
      </c>
      <c r="B7" s="12" t="s">
        <v>2948</v>
      </c>
      <c r="C7" s="12" t="s">
        <v>33</v>
      </c>
      <c r="D7" s="12" t="s">
        <v>2949</v>
      </c>
      <c r="E7" s="12" t="s">
        <v>2950</v>
      </c>
    </row>
    <row r="8" spans="1:5" ht="18" customHeight="1">
      <c r="A8" s="12" t="s">
        <v>2937</v>
      </c>
      <c r="B8" s="12" t="s">
        <v>2948</v>
      </c>
      <c r="C8" s="12" t="s">
        <v>38</v>
      </c>
      <c r="D8" s="12" t="s">
        <v>2951</v>
      </c>
      <c r="E8" s="12" t="s">
        <v>2952</v>
      </c>
    </row>
    <row r="9" spans="1:5" ht="18" customHeight="1">
      <c r="A9" s="12" t="s">
        <v>2937</v>
      </c>
      <c r="B9" s="12" t="s">
        <v>2953</v>
      </c>
      <c r="C9" s="12" t="s">
        <v>457</v>
      </c>
      <c r="D9" s="12" t="s">
        <v>2954</v>
      </c>
      <c r="E9" s="12" t="s">
        <v>2955</v>
      </c>
    </row>
    <row r="10" spans="1:5" ht="18" customHeight="1">
      <c r="A10" s="12" t="s">
        <v>2937</v>
      </c>
      <c r="B10" s="12" t="s">
        <v>2953</v>
      </c>
      <c r="C10" s="12" t="s">
        <v>199</v>
      </c>
      <c r="D10" s="12" t="s">
        <v>23</v>
      </c>
      <c r="E10" s="12" t="s">
        <v>2956</v>
      </c>
    </row>
    <row r="11" spans="1:5" ht="18" customHeight="1">
      <c r="A11" s="12" t="s">
        <v>2937</v>
      </c>
      <c r="B11" s="12" t="s">
        <v>2953</v>
      </c>
      <c r="C11" s="12" t="s">
        <v>364</v>
      </c>
      <c r="D11" s="12" t="s">
        <v>23</v>
      </c>
      <c r="E11" s="12" t="s">
        <v>2957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2958</v>
      </c>
      <c r="B1" s="5" t="s">
        <v>10</v>
      </c>
      <c r="C1" s="15" t="s">
        <v>2959</v>
      </c>
      <c r="D1" s="15" t="s">
        <v>2851</v>
      </c>
    </row>
    <row r="2" spans="1:4" ht="21" customHeight="1">
      <c r="A2" s="258" t="s">
        <v>23</v>
      </c>
      <c r="B2" s="258" t="s">
        <v>35</v>
      </c>
      <c r="C2" s="12" t="s">
        <v>2960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2961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2932</v>
      </c>
      <c r="B1" s="12" t="s">
        <v>2933</v>
      </c>
      <c r="C1" s="13" t="s">
        <v>2934</v>
      </c>
      <c r="D1" s="13" t="s">
        <v>2935</v>
      </c>
      <c r="E1" s="13" t="s">
        <v>2936</v>
      </c>
    </row>
    <row r="2" spans="1:5" ht="18" customHeight="1">
      <c r="A2" s="12" t="s">
        <v>2962</v>
      </c>
      <c r="B2" s="12" t="s">
        <v>2938</v>
      </c>
      <c r="C2" s="14" t="s">
        <v>24</v>
      </c>
      <c r="D2" s="12" t="s">
        <v>2939</v>
      </c>
      <c r="E2" s="18" t="s">
        <v>2963</v>
      </c>
    </row>
    <row r="3" spans="1:5" ht="18" customHeight="1">
      <c r="A3" s="12" t="s">
        <v>2962</v>
      </c>
      <c r="B3" s="12" t="s">
        <v>2938</v>
      </c>
      <c r="C3" s="12" t="s">
        <v>68</v>
      </c>
      <c r="D3" s="12" t="s">
        <v>2941</v>
      </c>
      <c r="E3" s="12" t="s">
        <v>2964</v>
      </c>
    </row>
    <row r="4" spans="1:5" ht="18" customHeight="1">
      <c r="A4" s="12" t="s">
        <v>2962</v>
      </c>
      <c r="B4" s="12" t="s">
        <v>2938</v>
      </c>
      <c r="C4" s="12" t="s">
        <v>72</v>
      </c>
      <c r="D4" s="12" t="s">
        <v>2944</v>
      </c>
      <c r="E4" s="12" t="s">
        <v>2965</v>
      </c>
    </row>
    <row r="5" spans="1:5" ht="27.75" customHeight="1">
      <c r="A5" s="12" t="s">
        <v>2962</v>
      </c>
      <c r="B5" s="12" t="s">
        <v>2938</v>
      </c>
      <c r="C5" s="12" t="s">
        <v>2690</v>
      </c>
      <c r="D5" s="18" t="s">
        <v>2966</v>
      </c>
      <c r="E5" s="12" t="s">
        <v>2967</v>
      </c>
    </row>
    <row r="6" spans="1:5" ht="18" customHeight="1">
      <c r="A6" s="12" t="s">
        <v>2962</v>
      </c>
      <c r="B6" s="12" t="s">
        <v>2938</v>
      </c>
      <c r="C6" s="12" t="s">
        <v>2727</v>
      </c>
      <c r="D6" s="12" t="s">
        <v>2946</v>
      </c>
      <c r="E6" s="12" t="s">
        <v>2947</v>
      </c>
    </row>
    <row r="7" spans="1:5" ht="18" customHeight="1">
      <c r="A7" s="12" t="s">
        <v>2962</v>
      </c>
      <c r="B7" s="12" t="s">
        <v>2948</v>
      </c>
      <c r="C7" s="12" t="s">
        <v>2711</v>
      </c>
      <c r="D7" s="12" t="s">
        <v>2968</v>
      </c>
      <c r="E7" s="12" t="s">
        <v>2969</v>
      </c>
    </row>
    <row r="8" spans="1:5" ht="18" customHeight="1">
      <c r="A8" s="12" t="s">
        <v>2962</v>
      </c>
      <c r="B8" s="12" t="s">
        <v>2948</v>
      </c>
      <c r="C8" s="12" t="s">
        <v>38</v>
      </c>
      <c r="D8" s="12" t="s">
        <v>2951</v>
      </c>
      <c r="E8" s="12" t="s">
        <v>2952</v>
      </c>
    </row>
    <row r="9" spans="1:5" ht="18" customHeight="1">
      <c r="A9" s="12" t="s">
        <v>2962</v>
      </c>
      <c r="B9" s="12" t="s">
        <v>2948</v>
      </c>
      <c r="C9" s="12" t="s">
        <v>2695</v>
      </c>
      <c r="D9" s="12" t="s">
        <v>2970</v>
      </c>
      <c r="E9" s="18" t="s">
        <v>2971</v>
      </c>
    </row>
    <row r="10" spans="1:5" ht="18" customHeight="1">
      <c r="A10" s="12" t="s">
        <v>2962</v>
      </c>
      <c r="B10" s="12" t="s">
        <v>2972</v>
      </c>
      <c r="C10" s="12" t="s">
        <v>2930</v>
      </c>
      <c r="D10" s="12" t="s">
        <v>2973</v>
      </c>
      <c r="E10" s="18" t="s">
        <v>2974</v>
      </c>
    </row>
    <row r="11" spans="1:5" ht="18" customHeight="1">
      <c r="A11" s="12" t="s">
        <v>2962</v>
      </c>
      <c r="B11" s="12" t="s">
        <v>2972</v>
      </c>
      <c r="C11" s="12" t="s">
        <v>199</v>
      </c>
      <c r="D11" s="12" t="s">
        <v>23</v>
      </c>
      <c r="E11" s="12" t="s">
        <v>2956</v>
      </c>
    </row>
    <row r="12" spans="1:5" ht="18" customHeight="1">
      <c r="A12" s="12" t="s">
        <v>2962</v>
      </c>
      <c r="B12" s="12" t="s">
        <v>2972</v>
      </c>
      <c r="C12" s="12" t="s">
        <v>364</v>
      </c>
      <c r="D12" s="12" t="s">
        <v>23</v>
      </c>
      <c r="E12" s="12" t="s">
        <v>2957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5" t="s">
        <v>2975</v>
      </c>
      <c r="B1" s="285"/>
      <c r="C1" s="285"/>
      <c r="D1" s="285"/>
      <c r="E1" s="285"/>
      <c r="F1" s="285"/>
      <c r="G1" s="285"/>
      <c r="H1" s="285"/>
    </row>
    <row r="2" spans="1:8">
      <c r="A2" s="130" t="s">
        <v>2976</v>
      </c>
    </row>
    <row r="4" spans="1:8" ht="21.95" customHeight="1">
      <c r="A4" s="286" t="s">
        <v>2977</v>
      </c>
      <c r="B4" s="287"/>
      <c r="D4" s="286" t="s">
        <v>2978</v>
      </c>
      <c r="E4" s="287"/>
      <c r="G4" s="286" t="s">
        <v>2979</v>
      </c>
      <c r="H4" s="287"/>
    </row>
    <row r="5" spans="1:8" ht="35.1" customHeight="1">
      <c r="A5" s="290">
        <f>COUNTIF('Ações InCompany'!E:E,"*maratona*")</f>
        <v>13</v>
      </c>
      <c r="B5" s="289"/>
      <c r="D5" s="288">
        <f>SUM(H8:H100)</f>
        <v>1762</v>
      </c>
      <c r="E5" s="289"/>
      <c r="G5" s="288">
        <f>IFERROR(ROUND(D5/A5,0),"-")</f>
        <v>136</v>
      </c>
      <c r="H5" s="289"/>
    </row>
    <row r="6" spans="1:8" ht="9.9499999999999993" customHeight="1"/>
    <row r="7" spans="1:8" ht="24.95" customHeight="1" thickBot="1">
      <c r="A7" s="143" t="s">
        <v>2980</v>
      </c>
      <c r="B7" s="143" t="s">
        <v>2981</v>
      </c>
      <c r="C7" s="143" t="s">
        <v>1</v>
      </c>
      <c r="D7" s="143" t="s">
        <v>2982</v>
      </c>
      <c r="E7" s="143" t="s">
        <v>2983</v>
      </c>
      <c r="F7" s="143" t="s">
        <v>2851</v>
      </c>
      <c r="G7" s="143" t="s">
        <v>5</v>
      </c>
      <c r="H7" s="143" t="s">
        <v>2984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2985</v>
      </c>
      <c r="B1" s="292"/>
      <c r="C1" s="292"/>
      <c r="D1" s="292"/>
      <c r="E1" s="292"/>
      <c r="F1" s="292"/>
    </row>
    <row r="2" spans="1:7">
      <c r="A2" s="293" t="s">
        <v>2986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2854</v>
      </c>
      <c r="C4" s="102" t="s">
        <v>2855</v>
      </c>
      <c r="D4" s="102" t="s">
        <v>2987</v>
      </c>
      <c r="E4" s="102" t="s">
        <v>2856</v>
      </c>
      <c r="F4" s="102" t="s">
        <v>2988</v>
      </c>
    </row>
    <row r="5" spans="1:7">
      <c r="A5" t="str" cm="1">
        <f t="array" ref="A5:A4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2</v>
      </c>
      <c r="G5" s="101">
        <f>IF($A5="","",COUNTIFS('GECC 2026'!G$2:G$200,$A5))</f>
        <v>0</v>
      </c>
    </row>
    <row r="6" spans="1:7">
      <c r="A6" t="str">
        <v>Adriana Cuoco Portugal</v>
      </c>
      <c r="B6" s="103">
        <f>IF($A6="","",SUMIFS('GECC 2026'!H$2:H$200,'GECC 2026'!F$2:F$200,$A6))</f>
        <v>32</v>
      </c>
      <c r="C6" s="103">
        <f>IF($A6="","",SUMIFS('GECC 2026'!I$2:I$200,'GECC 2026'!F$2:F$200,$A6))</f>
        <v>4.6800000000000006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36.68</v>
      </c>
      <c r="F6" s="101">
        <f>IF($A6="","",COUNTIFS('GECC 2026'!F$2:F$200,$A6))</f>
        <v>8</v>
      </c>
    </row>
    <row r="7" spans="1:7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>
      <c r="A8" t="str">
        <v>Alinne Patrícia de Andrade Carvalho</v>
      </c>
      <c r="B8" s="103">
        <f>IF($A8="","",SUMIFS('GECC 2026'!H$2:H$200,'GECC 2026'!F$2:F$200,$A8))</f>
        <v>0</v>
      </c>
      <c r="C8" s="103">
        <f>IF($A8="","",SUMIFS('GECC 2026'!I$2:I$200,'GECC 2026'!F$2:F$200,$A8))</f>
        <v>0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0</v>
      </c>
      <c r="F8" s="101">
        <f>IF($A8="","",COUNTIFS('GECC 2026'!F$2:F$200,$A8))</f>
        <v>1</v>
      </c>
    </row>
    <row r="9" spans="1:7">
      <c r="A9" t="str">
        <v>Arthur Wú</v>
      </c>
      <c r="B9" s="103">
        <f>IF($A9="","",SUMIFS('GECC 2026'!H$2:H$200,'GECC 2026'!F$2:F$200,$A9))</f>
        <v>41</v>
      </c>
      <c r="C9" s="103">
        <f>IF($A9="","",SUMIFS('GECC 2026'!I$2:I$200,'GECC 2026'!F$2:F$200,$A9))</f>
        <v>12.6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53.6</v>
      </c>
      <c r="F9" s="101">
        <f>IF($A9="","",COUNTIFS('GECC 2026'!F$2:F$200,$A9))</f>
        <v>6</v>
      </c>
    </row>
    <row r="10" spans="1:7">
      <c r="A10" t="str">
        <v>Carolina Pereira de Oliveira</v>
      </c>
      <c r="B10" s="103">
        <f>IF($A10="","",SUMIFS('GECC 2026'!H$2:H$200,'GECC 2026'!F$2:F$200,$A10))</f>
        <v>1</v>
      </c>
      <c r="C10" s="103">
        <f>IF($A10="","",SUMIFS('GECC 2026'!I$2:I$200,'GECC 2026'!F$2:F$200,$A10))</f>
        <v>0.3</v>
      </c>
      <c r="D10" s="255">
        <f>IF($A10="","",SUMIFS('GECC 2026'!$AE$3:$AE$32,'GECC 2026'!$AD$3:$AD$32,$A10))</f>
        <v>0</v>
      </c>
      <c r="E10" s="240">
        <f>IF($A10="","",SUMIFS('GECC 2026'!J$2:J$200,'GECC 2026'!F$2:F$200,$A10)+SUMIFS('GECC 2026'!$AE$3:$AE$32,'GECC 2026'!$AD$3:$AD$32,$A10))</f>
        <v>1.3</v>
      </c>
      <c r="F10" s="101">
        <f>IF($A10="","",COUNTIFS('GECC 2026'!F$2:F$200,$A10))</f>
        <v>1</v>
      </c>
    </row>
    <row r="11" spans="1:7">
      <c r="A11" t="str">
        <v>Cássio Murilo Alves Costa Filho</v>
      </c>
      <c r="B11" s="103">
        <f>IF($A11="","",SUMIFS('GECC 2026'!H$2:H$200,'GECC 2026'!F$2:F$200,$A11))</f>
        <v>16</v>
      </c>
      <c r="C11" s="103">
        <f>IF($A11="","",SUMIFS('GECC 2026'!I$2:I$200,'GECC 2026'!F$2:F$200,$A11))</f>
        <v>4.8</v>
      </c>
      <c r="D11" s="255">
        <f>IF($A11="","",SUMIFS('GECC 2026'!$AE$3:$AE$32,'GECC 2026'!$AD$3:$AD$32,$A11))</f>
        <v>16</v>
      </c>
      <c r="E11" s="240">
        <f>IF($A11="","",SUMIFS('GECC 2026'!J$2:J$200,'GECC 2026'!F$2:F$200,$A11)+SUMIFS('GECC 2026'!$AE$3:$AE$32,'GECC 2026'!$AD$3:$AD$32,$A11))</f>
        <v>36.799999999999997</v>
      </c>
      <c r="F11" s="101">
        <f>IF($A11="","",COUNTIFS('GECC 2026'!F$2:F$200,$A11))</f>
        <v>1</v>
      </c>
    </row>
    <row r="12" spans="1:7">
      <c r="A12" t="str">
        <v>Cinthia Thais de Carvalho Luz Thomazi</v>
      </c>
      <c r="B12" s="103">
        <f>IF($A12="","",SUMIFS('GECC 2026'!H$2:H$200,'GECC 2026'!F$2:F$200,$A12))</f>
        <v>53</v>
      </c>
      <c r="C12" s="103">
        <f>IF($A12="","",SUMIFS('GECC 2026'!I$2:I$200,'GECC 2026'!F$2:F$200,$A12))</f>
        <v>7.3800000000000008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60.38000000000001</v>
      </c>
      <c r="F12" s="101">
        <f>IF($A12="","",COUNTIFS('GECC 2026'!F$2:F$200,$A12))</f>
        <v>10</v>
      </c>
    </row>
    <row r="13" spans="1:7">
      <c r="A13" t="str">
        <v>Davi Assunção Salvador Nery de Castro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David da Silva de Araújo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1.2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13.2</v>
      </c>
      <c r="F14" s="101">
        <f>IF($A14="","",COUNTIFS('GECC 2026'!F$2:F$200,$A14))</f>
        <v>1</v>
      </c>
    </row>
    <row r="15" spans="1:7">
      <c r="A15" t="str">
        <v>Denise Duarte Guirra Kuhlmann</v>
      </c>
      <c r="B15" s="103">
        <f>IF($A15="","",SUMIFS('GECC 2026'!H$2:H$200,'GECC 2026'!F$2:F$200,$A15))</f>
        <v>24</v>
      </c>
      <c r="C15" s="103">
        <f>IF($A15="","",SUMIFS('GECC 2026'!I$2:I$200,'GECC 2026'!F$2:F$200,$A15))</f>
        <v>3.24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27.24</v>
      </c>
      <c r="F15" s="101">
        <f>IF($A15="","",COUNTIFS('GECC 2026'!F$2:F$200,$A15))</f>
        <v>6</v>
      </c>
    </row>
    <row r="16" spans="1:7">
      <c r="A16" t="str">
        <v>Diversos</v>
      </c>
      <c r="B16" s="103">
        <f>IF($A16="","",SUMIFS('GECC 2026'!H$2:H$200,'GECC 2026'!F$2:F$200,$A16))</f>
        <v>0</v>
      </c>
      <c r="C16" s="103">
        <f>IF($A16="","",SUMIFS('GECC 2026'!I$2:I$200,'GECC 2026'!F$2:F$200,$A16))</f>
        <v>0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0</v>
      </c>
      <c r="F16" s="101">
        <f>IF($A16="","",COUNTIFS('GECC 2026'!F$2:F$200,$A16))</f>
        <v>2</v>
      </c>
    </row>
    <row r="17" spans="1:6">
      <c r="A17" t="str">
        <v>Eustáquio Rabelo de Souza</v>
      </c>
      <c r="B17" s="103">
        <f>IF($A17="","",SUMIFS('GECC 2026'!H$2:H$200,'GECC 2026'!F$2:F$200,$A17))</f>
        <v>1</v>
      </c>
      <c r="C17" s="103">
        <f>IF($A17="","",SUMIFS('GECC 2026'!I$2:I$200,'GECC 2026'!F$2:F$200,$A17))</f>
        <v>0.3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1.3</v>
      </c>
      <c r="F17" s="101">
        <f>IF($A17="","",COUNTIFS('GECC 2026'!F$2:F$200,$A17))</f>
        <v>1</v>
      </c>
    </row>
    <row r="18" spans="1:6">
      <c r="A18" t="str">
        <v>Felipe da Costa Malaquias</v>
      </c>
      <c r="B18" s="103">
        <f>IF($A18="","",SUMIFS('GECC 2026'!H$2:H$200,'GECC 2026'!F$2:F$200,$A18))</f>
        <v>8</v>
      </c>
      <c r="C18" s="103">
        <f>IF($A18="","",SUMIFS('GECC 2026'!I$2:I$200,'GECC 2026'!F$2:F$200,$A18))</f>
        <v>37.299999999999997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45.3</v>
      </c>
      <c r="F18" s="101">
        <f>IF($A18="","",COUNTIFS('GECC 2026'!F$2:F$200,$A18))</f>
        <v>2</v>
      </c>
    </row>
    <row r="19" spans="1:6">
      <c r="A19" t="str">
        <v>Felipe Ramos Barbosa</v>
      </c>
      <c r="B19" s="103">
        <f>IF($A19="","",SUMIFS('GECC 2026'!H$2:H$200,'GECC 2026'!F$2:F$200,$A19))</f>
        <v>1</v>
      </c>
      <c r="C19" s="103">
        <f>IF($A19="","",SUMIFS('GECC 2026'!I$2:I$200,'GECC 2026'!F$2:F$200,$A19))</f>
        <v>0.3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1.3</v>
      </c>
      <c r="F19" s="101">
        <f>IF($A19="","",COUNTIFS('GECC 2026'!F$2:F$200,$A19))</f>
        <v>1</v>
      </c>
    </row>
    <row r="20" spans="1:6">
      <c r="A20" t="str">
        <v>Fernanda Viana de Souza</v>
      </c>
      <c r="B20" s="103">
        <f>IF($A20="","",SUMIFS('GECC 2026'!H$2:H$200,'GECC 2026'!F$2:F$200,$A20))</f>
        <v>31</v>
      </c>
      <c r="C20" s="103">
        <f>IF($A20="","",SUMIFS('GECC 2026'!I$2:I$200,'GECC 2026'!F$2:F$200,$A20))</f>
        <v>3.9300000000000006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34.93</v>
      </c>
      <c r="F20" s="101">
        <f>IF($A20="","",COUNTIFS('GECC 2026'!F$2:F$200,$A20))</f>
        <v>8</v>
      </c>
    </row>
    <row r="21" spans="1:6">
      <c r="A21" t="str">
        <v>Flávio José Fonseca de Souza</v>
      </c>
      <c r="B21" s="103">
        <f>IF($A21="","",SUMIFS('GECC 2026'!H$2:H$200,'GECC 2026'!F$2:F$200,$A21))</f>
        <v>8</v>
      </c>
      <c r="C21" s="103">
        <f>IF($A21="","",SUMIFS('GECC 2026'!I$2:I$200,'GECC 2026'!F$2:F$200,$A21))</f>
        <v>37.299999999999997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45.3</v>
      </c>
      <c r="F21" s="101">
        <f>IF($A21="","",COUNTIFS('GECC 2026'!F$2:F$200,$A21))</f>
        <v>2</v>
      </c>
    </row>
    <row r="22" spans="1:6">
      <c r="A22" t="str">
        <v>Gabriel Heller</v>
      </c>
      <c r="B22" s="103">
        <f>IF($A22="","",SUMIFS('GECC 2026'!H$2:H$200,'GECC 2026'!F$2:F$200,$A22))</f>
        <v>4</v>
      </c>
      <c r="C22" s="103">
        <f>IF($A22="","",SUMIFS('GECC 2026'!I$2:I$200,'GECC 2026'!F$2:F$200,$A22))</f>
        <v>33.200000000000003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37.200000000000003</v>
      </c>
      <c r="F22" s="101">
        <f>IF($A22="","",COUNTIFS('GECC 2026'!F$2:F$200,$A22))</f>
        <v>2</v>
      </c>
    </row>
    <row r="23" spans="1:6">
      <c r="A23" t="str">
        <v>Guilherme Bride Fernandes</v>
      </c>
      <c r="B23" s="103">
        <f>IF($A23="","",SUMIFS('GECC 2026'!H$2:H$200,'GECC 2026'!F$2:F$200,$A23))</f>
        <v>0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0</v>
      </c>
      <c r="F23" s="101">
        <f>IF($A23="","",COUNTIFS('GECC 2026'!F$2:F$200,$A23))</f>
        <v>1</v>
      </c>
    </row>
    <row r="24" spans="1:6">
      <c r="A24" t="str">
        <v>Gustavo Takahashi</v>
      </c>
      <c r="B24" s="103">
        <f>IF($A24="","",SUMIFS('GECC 2026'!H$2:H$200,'GECC 2026'!F$2:F$200,$A24))</f>
        <v>33</v>
      </c>
      <c r="C24" s="103">
        <f>IF($A24="","",SUMIFS('GECC 2026'!I$2:I$200,'GECC 2026'!F$2:F$200,$A24))</f>
        <v>0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33</v>
      </c>
      <c r="F24" s="101">
        <f>IF($A24="","",COUNTIFS('GECC 2026'!F$2:F$200,$A24))</f>
        <v>5</v>
      </c>
    </row>
    <row r="25" spans="1:6">
      <c r="A25" t="str">
        <v>Hamilton de Jesus Lopes Neto</v>
      </c>
      <c r="B25" s="103">
        <f>IF($A25="","",SUMIFS('GECC 2026'!H$2:H$200,'GECC 2026'!F$2:F$200,$A25))</f>
        <v>12</v>
      </c>
      <c r="C25" s="103">
        <f>IF($A25="","",SUMIFS('GECC 2026'!I$2:I$200,'GECC 2026'!F$2:F$200,$A25))</f>
        <v>1.2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13.2</v>
      </c>
      <c r="F25" s="101">
        <f>IF($A25="","",COUNTIFS('GECC 2026'!F$2:F$200,$A25))</f>
        <v>1</v>
      </c>
    </row>
    <row r="26" spans="1:6">
      <c r="A26" t="str">
        <v>Igor Queiroz</v>
      </c>
      <c r="B26" s="103">
        <f>IF($A26="","",SUMIFS('GECC 2026'!H$2:H$200,'GECC 2026'!F$2:F$200,$A26))</f>
        <v>1</v>
      </c>
      <c r="C26" s="103">
        <f>IF($A26="","",SUMIFS('GECC 2026'!I$2:I$200,'GECC 2026'!F$2:F$200,$A26))</f>
        <v>0.3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1.3</v>
      </c>
      <c r="F26" s="101">
        <f>IF($A26="","",COUNTIFS('GECC 2026'!F$2:F$200,$A26))</f>
        <v>1</v>
      </c>
    </row>
    <row r="27" spans="1:6">
      <c r="A27" t="str">
        <v>Indio Artiaga do Brasil Rabelo</v>
      </c>
      <c r="B27" s="103">
        <f>IF($A27="","",SUMIFS('GECC 2026'!H$2:H$200,'GECC 2026'!F$2:F$200,$A27))</f>
        <v>12</v>
      </c>
      <c r="C27" s="103">
        <f>IF($A27="","",SUMIFS('GECC 2026'!I$2:I$200,'GECC 2026'!F$2:F$200,$A27))</f>
        <v>3.6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15.6</v>
      </c>
      <c r="F27" s="101">
        <f>IF($A27="","",COUNTIFS('GECC 2026'!F$2:F$200,$A27))</f>
        <v>1</v>
      </c>
    </row>
    <row r="28" spans="1:6">
      <c r="A28" t="str">
        <v>José Roberto Alcuri Júnior</v>
      </c>
      <c r="B28" s="103">
        <f>IF($A28="","",SUMIFS('GECC 2026'!H$2:H$200,'GECC 2026'!F$2:F$200,$A28))</f>
        <v>1</v>
      </c>
      <c r="C28" s="103">
        <f>IF($A28="","",SUMIFS('GECC 2026'!I$2:I$200,'GECC 2026'!F$2:F$200,$A28))</f>
        <v>0.3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1.3</v>
      </c>
      <c r="F28" s="101">
        <f>IF($A28="","",COUNTIFS('GECC 2026'!F$2:F$200,$A28))</f>
        <v>1</v>
      </c>
    </row>
    <row r="29" spans="1:6">
      <c r="A29" t="str">
        <v>Leonardo de Melo</v>
      </c>
      <c r="B29" s="103">
        <f>IF($A29="","",SUMIFS('GECC 2026'!H$2:H$200,'GECC 2026'!F$2:F$200,$A29))</f>
        <v>0</v>
      </c>
      <c r="C29" s="103">
        <f>IF($A29="","",SUMIFS('GECC 2026'!I$2:I$200,'GECC 2026'!F$2:F$200,$A29))</f>
        <v>0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0</v>
      </c>
      <c r="F29" s="101">
        <f>IF($A29="","",COUNTIFS('GECC 2026'!F$2:F$200,$A29))</f>
        <v>1</v>
      </c>
    </row>
    <row r="30" spans="1:6">
      <c r="A30" t="str">
        <v>Leonardo José Alves Leal Neri</v>
      </c>
      <c r="B30" s="103">
        <f>IF($A30="","",SUMIFS('GECC 2026'!H$2:H$200,'GECC 2026'!F$2:F$200,$A30))</f>
        <v>40</v>
      </c>
      <c r="C30" s="103">
        <f>IF($A30="","",SUMIFS('GECC 2026'!I$2:I$200,'GECC 2026'!F$2:F$200,$A30))</f>
        <v>12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52</v>
      </c>
      <c r="F30" s="101">
        <f>IF($A30="","",COUNTIFS('GECC 2026'!F$2:F$200,$A30))</f>
        <v>2</v>
      </c>
    </row>
    <row r="31" spans="1:6">
      <c r="A31" t="str">
        <v>Luciana Alvim</v>
      </c>
      <c r="B31" s="103">
        <f>IF($A31="","",SUMIFS('GECC 2026'!H$2:H$200,'GECC 2026'!F$2:F$200,$A31))</f>
        <v>60</v>
      </c>
      <c r="C31" s="103">
        <f>IF($A31="","",SUMIFS('GECC 2026'!I$2:I$200,'GECC 2026'!F$2:F$200,$A31))</f>
        <v>94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154</v>
      </c>
      <c r="F31" s="101">
        <f>IF($A31="","",COUNTIFS('GECC 2026'!F$2:F$200,$A31))</f>
        <v>6</v>
      </c>
    </row>
    <row r="32" spans="1:6">
      <c r="A32" t="str">
        <v>Luiz Felipe Tenório de Lima Gondim</v>
      </c>
      <c r="B32" s="103">
        <f>IF($A32="","",SUMIFS('GECC 2026'!H$2:H$200,'GECC 2026'!F$2:F$200,$A32))</f>
        <v>16</v>
      </c>
      <c r="C32" s="103">
        <f>IF($A32="","",SUMIFS('GECC 2026'!I$2:I$200,'GECC 2026'!F$2:F$200,$A32))</f>
        <v>0.83999999999999986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16.84</v>
      </c>
      <c r="F32" s="101">
        <f>IF($A32="","",COUNTIFS('GECC 2026'!F$2:F$200,$A32))</f>
        <v>4</v>
      </c>
    </row>
    <row r="33" spans="1:6">
      <c r="A33" t="str">
        <v>Marcelo Bálbio Moraes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Marcelo Santana</v>
      </c>
      <c r="B34" s="103">
        <f>IF($A34="","",SUMIFS('GECC 2026'!H$2:H$200,'GECC 2026'!F$2:F$200,$A34))</f>
        <v>1</v>
      </c>
      <c r="C34" s="103">
        <f>IF($A34="","",SUMIFS('GECC 2026'!I$2:I$200,'GECC 2026'!F$2:F$200,$A34))</f>
        <v>0.3</v>
      </c>
      <c r="D34" s="255">
        <f>IF($A34="","",SUMIFS('GECC 2026'!$AE$3:$AE$32,'GECC 2026'!$AD$3:$AD$32,$A34))</f>
        <v>0</v>
      </c>
      <c r="E34" s="240">
        <f>IF($A34="","",SUMIFS('GECC 2026'!J$2:J$200,'GECC 2026'!F$2:F$200,$A34)+SUMIFS('GECC 2026'!$AE$3:$AE$32,'GECC 2026'!$AD$3:$AD$32,$A34))</f>
        <v>1.3</v>
      </c>
      <c r="F34" s="101">
        <f>IF($A34="","",COUNTIFS('GECC 2026'!F$2:F$200,$A34))</f>
        <v>1</v>
      </c>
    </row>
    <row r="35" spans="1:6">
      <c r="A35" t="str">
        <v>Mauri Siqueira Montessi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Michel Martins de Morais</v>
      </c>
      <c r="B36" s="103">
        <f>IF($A36="","",SUMIFS('GECC 2026'!H$2:H$200,'GECC 2026'!F$2:F$200,$A36))</f>
        <v>0</v>
      </c>
      <c r="C36" s="103">
        <f>IF($A36="","",SUMIFS('GECC 2026'!I$2:I$200,'GECC 2026'!F$2:F$200,$A36))</f>
        <v>0</v>
      </c>
      <c r="D36" s="255">
        <f>IF($A36="","",SUMIFS('GECC 2026'!$AE$3:$AE$32,'GECC 2026'!$AD$3:$AD$32,$A36))</f>
        <v>16</v>
      </c>
      <c r="E36" s="240">
        <f>IF($A36="","",SUMIFS('GECC 2026'!J$2:J$200,'GECC 2026'!F$2:F$200,$A36)+SUMIFS('GECC 2026'!$AE$3:$AE$32,'GECC 2026'!$AD$3:$AD$32,$A36))</f>
        <v>16</v>
      </c>
      <c r="F36" s="101">
        <f>IF($A36="","",COUNTIFS('GECC 2026'!F$2:F$200,$A36))</f>
        <v>0</v>
      </c>
    </row>
    <row r="37" spans="1:6">
      <c r="A37" t="str">
        <v>Paulo José Góes Daltro</v>
      </c>
      <c r="B37" s="103">
        <f>IF($A37="","",SUMIFS('GECC 2026'!H$2:H$200,'GECC 2026'!F$2:F$200,$A37))</f>
        <v>16</v>
      </c>
      <c r="C37" s="103">
        <f>IF($A37="","",SUMIFS('GECC 2026'!I$2:I$200,'GECC 2026'!F$2:F$200,$A37))</f>
        <v>4.8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20.8</v>
      </c>
      <c r="F37" s="101">
        <f>IF($A37="","",COUNTIFS('GECC 2026'!F$2:F$200,$A37))</f>
        <v>3</v>
      </c>
    </row>
    <row r="38" spans="1:6">
      <c r="A38" t="str">
        <v>Priscila Nolasco</v>
      </c>
      <c r="B38" s="103">
        <f>IF($A38="","",SUMIFS('GECC 2026'!H$2:H$200,'GECC 2026'!F$2:F$200,$A38))</f>
        <v>28</v>
      </c>
      <c r="C38" s="103">
        <f>IF($A38="","",SUMIFS('GECC 2026'!I$2:I$200,'GECC 2026'!F$2:F$200,$A38))</f>
        <v>3.4800000000000004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31.48</v>
      </c>
      <c r="F38" s="101">
        <f>IF($A38="","",COUNTIFS('GECC 2026'!F$2:F$200,$A38))</f>
        <v>7</v>
      </c>
    </row>
    <row r="39" spans="1:6">
      <c r="A39" t="str">
        <v>Reinaldo Alencar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Rogério Ribeiro</v>
      </c>
      <c r="B40" s="103">
        <f>IF($A40="","",SUMIFS('GECC 2026'!H$2:H$200,'GECC 2026'!F$2:F$200,$A40))</f>
        <v>48</v>
      </c>
      <c r="C40" s="103">
        <f>IF($A40="","",SUMIFS('GECC 2026'!I$2:I$200,'GECC 2026'!F$2:F$200,$A40))</f>
        <v>7.1999999999999993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55.2</v>
      </c>
      <c r="F40" s="101">
        <f>IF($A40="","",COUNTIFS('GECC 2026'!F$2:F$200,$A40))</f>
        <v>3</v>
      </c>
    </row>
    <row r="41" spans="1:6">
      <c r="A41" t="str">
        <v>Rômulo Miranda Alvim</v>
      </c>
      <c r="B41" s="103">
        <f>IF($A41="","",SUMIFS('GECC 2026'!H$2:H$200,'GECC 2026'!F$2:F$200,$A41))</f>
        <v>24</v>
      </c>
      <c r="C41" s="103">
        <f>IF($A41="","",SUMIFS('GECC 2026'!I$2:I$200,'GECC 2026'!F$2:F$200,$A41))</f>
        <v>3.6</v>
      </c>
      <c r="D41" s="255">
        <f>IF($A41="","",SUMIFS('GECC 2026'!$AE$3:$AE$32,'GECC 2026'!$AD$3:$AD$32,$A41))</f>
        <v>16</v>
      </c>
      <c r="E41" s="240">
        <f>IF($A41="","",SUMIFS('GECC 2026'!J$2:J$200,'GECC 2026'!F$2:F$200,$A41)+SUMIFS('GECC 2026'!$AE$3:$AE$32,'GECC 2026'!$AD$3:$AD$32,$A41))</f>
        <v>43.6</v>
      </c>
      <c r="F41" s="101">
        <f>IF($A41="","",COUNTIFS('GECC 2026'!F$2:F$200,$A41))</f>
        <v>2</v>
      </c>
    </row>
    <row r="42" spans="1:6">
      <c r="A42" t="str">
        <v>Servidores, colaboradores e estagiários do TCDF</v>
      </c>
      <c r="B42" s="103">
        <f>IF($A42="","",SUMIFS('GECC 2026'!H$2:H$200,'GECC 2026'!F$2:F$200,$A42))</f>
        <v>0</v>
      </c>
      <c r="C42" s="103">
        <f>IF($A42="","",SUMIFS('GECC 2026'!I$2:I$200,'GECC 2026'!F$2:F$200,$A42))</f>
        <v>0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0</v>
      </c>
      <c r="F42" s="101">
        <f>IF($A42="","",COUNTIFS('GECC 2026'!F$2:F$200,$A42))</f>
        <v>1</v>
      </c>
    </row>
    <row r="43" spans="1:6">
      <c r="A43" t="str">
        <v>Silvia Lima Damasceno Carvalho</v>
      </c>
      <c r="B43" s="103">
        <f>IF($A43="","",SUMIFS('GECC 2026'!H$2:H$200,'GECC 2026'!F$2:F$200,$A43))</f>
        <v>1</v>
      </c>
      <c r="C43" s="103">
        <f>IF($A43="","",SUMIFS('GECC 2026'!I$2:I$200,'GECC 2026'!F$2:F$200,$A43))</f>
        <v>0.3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1.3</v>
      </c>
      <c r="F43" s="101">
        <f>IF($A43="","",COUNTIFS('GECC 2026'!F$2:F$200,$A43))</f>
        <v>1</v>
      </c>
    </row>
    <row r="44" spans="1:6">
      <c r="A44" t="str">
        <v>Tarsila Firmino Ely</v>
      </c>
      <c r="B44" s="103">
        <f>IF($A44="","",SUMIFS('GECC 2026'!H$2:H$200,'GECC 2026'!F$2:F$200,$A44))</f>
        <v>56</v>
      </c>
      <c r="C44" s="103">
        <f>IF($A44="","",SUMIFS('GECC 2026'!I$2:I$200,'GECC 2026'!F$2:F$200,$A44))</f>
        <v>96.4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152.4</v>
      </c>
      <c r="F44" s="101">
        <f>IF($A44="","",COUNTIFS('GECC 2026'!F$2:F$200,$A44))</f>
        <v>5</v>
      </c>
    </row>
    <row r="45" spans="1:6">
      <c r="A45" t="str">
        <v>Túllio Herbeth Teixeira Moraes</v>
      </c>
      <c r="B45" s="103">
        <f>IF($A45="","",SUMIFS('GECC 2026'!H$2:H$200,'GECC 2026'!F$2:F$200,$A45))</f>
        <v>3</v>
      </c>
      <c r="C45" s="103">
        <f>IF($A45="","",SUMIFS('GECC 2026'!I$2:I$200,'GECC 2026'!F$2:F$200,$A45))</f>
        <v>0.44999999999999996</v>
      </c>
      <c r="D45" s="255">
        <f>IF($A45="","",SUMIFS('GECC 2026'!$AE$3:$AE$32,'GECC 2026'!$AD$3:$AD$32,$A45))</f>
        <v>0</v>
      </c>
      <c r="E45" s="240">
        <f>IF($A45="","",SUMIFS('GECC 2026'!J$2:J$200,'GECC 2026'!F$2:F$200,$A45)+SUMIFS('GECC 2026'!$AE$3:$AE$32,'GECC 2026'!$AD$3:$AD$32,$A45))</f>
        <v>3.45</v>
      </c>
      <c r="F45" s="101">
        <f>IF($A45="","",COUNTIFS('GECC 2026'!F$2:F$200,$A45))</f>
        <v>1</v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2924</v>
      </c>
      <c r="B105" s="242">
        <f>SUM(B5:B100)</f>
        <v>676</v>
      </c>
      <c r="C105" s="242">
        <f>SUM(C5:C100)</f>
        <v>389.7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107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2026-07-02T17:48:15Z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