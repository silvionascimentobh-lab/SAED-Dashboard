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53" documentId="13_ncr:1_{C887EC22-7CD1-4717-84BE-7303F42C5C0A}" xr6:coauthVersionLast="47" xr6:coauthVersionMax="47" xr10:uidLastSave="{8F60C2E3-6D7D-426B-B876-7CE1525D55F2}"/>
  <bookViews>
    <workbookView xWindow="28680" yWindow="-120" windowWidth="29040" windowHeight="15720" firstSheet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D45" i="23" l="1"/>
  <c r="F45" i="23"/>
  <c r="C45" i="23"/>
  <c r="B45" i="23"/>
  <c r="E45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25" i="23" l="1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<sst xmlns="http://schemas.openxmlformats.org/spreadsheetml/2006/main" count="6614" uniqueCount="2986">
  <si>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</si>
  <si>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</si>
  <si>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</si>
  <si>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</si>
  <si>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</si>
  <si>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</si>
  <si>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</si>
  <si>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</si>
  <si>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</si>
  <si>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</si>
  <si>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</si>
  <si>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</si>
  <si>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</si>
  <si>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</si>
  <si>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</si>
  <si>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</si>
  <si>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</si>
  <si>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</si>
  <si>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</si>
  <si>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</si>
  <si>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</si>
  <si>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</si>
  <si>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</si>
  <si>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</si>
  <si>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</si>
  <si>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</si>
  <si>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</si>
  <si>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</si>
  <si>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</si>
  <si>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</si>
  <si>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</si>
  <si>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</si>
  <si>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</si>
  <si>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</si>
  <si>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</si>
  <si>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</si>
  <si>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</si>
  <si>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</si>
  <si>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</si>
  <si>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</si>
  <si>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</si>
  <si>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</si>
  <si>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</si>
  <si>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</si>
  <si>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</si>
  <si>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</si>
  <si>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</si>
  <si>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</si>
  <si>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</si>
  <si>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</si>
  <si>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</si>
  <si>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</si>
  <si>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</si>
  <si>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</si>
  <si>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</si>
  <si>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</si>
  <si>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</si>
  <si>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</si>
  <si>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</si>
  <si>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</si>
  <si>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</si>
  <si>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</si>
  <si>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</si>
  <si>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</si>
  <si>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</si>
  <si>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</si>
  <si>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</si>
  <si>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</si>
  <si>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</si>
  <si>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</si>
  <si>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</si>
  <si>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</si>
  <si>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</si>
  <si>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</si>
  <si>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</si>
  <si>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</si>
  <si>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</si>
  <si>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</si>
  <si>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</si>
  <si>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</si>
  <si>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</si>
  <si>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</si>
  <si>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</si>
  <si>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</si>
  <si>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</si>
  <si>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</si>
  <si>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</si>
  <si>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</si>
  <si>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</si>
  <si>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</si>
  <si>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</si>
  <si>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</si>
  <si>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</si>
  <si>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</si>
  <si>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</si>
  <si>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</si>
  <si>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</si>
  <si>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</si>
  <si>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</si>
  <si>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</si>
  <si>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</si>
  <si>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</si>
  <si>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</si>
  <si>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</si>
  <si>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</si>
  <si>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</si>
  <si>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</si>
  <si>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</si>
  <si>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</si>
  <si>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</si>
  <si>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</si>
  <si>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</si>
  <si>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</si>
  <si>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</si>
  <si>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</si>
  <si>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</si>
  <si>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</si>
  <si>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</si>
  <si>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</si>
  <si>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</si>
  <si>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</si>
  <si>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</si>
  <si>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</si>
  <si>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</si>
  <si>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</si>
  <si>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</si>
  <si>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</si>
  <si>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</si>
  <si>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</si>
  <si>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</si>
  <si>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</si>
  <si>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</si>
  <si>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</si>
  <si>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</si>
  <si>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</si>
  <si>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</si>
  <si>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</si>
  <si>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</si>
  <si>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</si>
  <si>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</si>
  <si>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</si>
  <si>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</si>
  <si>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</si>
  <si>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</si>
  <si>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</si>
  <si>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</si>
  <si>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</si>
  <si>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</si>
  <si>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</si>
  <si>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</si>
  <si>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</si>
  <si>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</si>
  <si>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</si>
  <si>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</si>
  <si>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</si>
  <si>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</si>
  <si>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</si>
  <si>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</si>
  <si>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</si>
  <si>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</si>
  <si>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</si>
  <si>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</si>
  <si>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</si>
  <si>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</si>
  <si>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</si>
  <si>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</si>
  <si>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</si>
  <si>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</si>
  <si>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</si>
  <si>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</si>
  <si>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</si>
  <si>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</si>
  <si>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</si>
  <si>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</si>
  <si>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</si>
  <si>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</si>
  <si>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</si>
  <si>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</si>
  <si>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</si>
  <si>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</si>
  <si>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</si>
  <si>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</si>
  <si>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</si>
  <si>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</si>
  <si>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</si>
  <si>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</si>
  <si>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</si>
  <si>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</si>
  <si>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</si>
  <si>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</si>
  <si>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</si>
  <si>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</si>
  <si>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</si>
  <si>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</si>
  <si>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</si>
  <si>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</si>
  <si>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</si>
  <si>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</si>
  <si>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</si>
  <si>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</si>
  <si>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</si>
  <si>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</si>
  <si>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</si>
  <si>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</si>
  <si>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</si>
  <si>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</si>
  <si>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</si>
  <si>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</si>
  <si>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</si>
  <si>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</si>
  <si>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</si>
  <si>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</si>
  <si>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</si>
  <si>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</si>
  <si>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</si>
  <si>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</si>
  <si>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</si>
  <si>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</si>
  <si>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</si>
  <si>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</si>
  <si>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</si>
  <si>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</si>
  <si>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</si>
  <si>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</si>
  <si>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</si>
  <si>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</si>
  <si>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</si>
  <si>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</si>
  <si>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</si>
  <si>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</si>
  <si>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</si>
  <si>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</si>
  <si>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</si>
  <si>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</si>
  <si>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</si>
  <si>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</si>
  <si>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</si>
  <si>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</si>
  <si>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</si>
  <si>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</si>
  <si>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</si>
  <si>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</si>
  <si>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</si>
  <si>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</si>
  <si>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</si>
  <si>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</si>
  <si>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</si>
  <si>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</si>
  <si>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</si>
  <si>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</si>
  <si>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</si>
  <si>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</si>
  <si>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</si>
  <si>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</si>
  <si>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</si>
  <si>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</si>
  <si>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</si>
  <si>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</si>
  <si>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</si>
  <si>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</si>
  <si>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</si>
  <si>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</si>
  <si>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</si>
  <si>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</si>
  <si>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</si>
  <si>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</si>
  <si>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</si>
  <si>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</si>
  <si>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</si>
  <si>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</si>
  <si>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</si>
  <si>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</si>
  <si>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</si>
  <si>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</si>
  <si>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</si>
  <si>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</si>
  <si>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</si>
  <si>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</si>
  <si>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</si>
  <si>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</si>
  <si>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</si>
  <si>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</si>
  <si>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</si>
  <si>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</si>
  <si>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</si>
  <si>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</si>
  <si>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</si>
  <si>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</si>
  <si>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</si>
  <si>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</si>
  <si>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</si>
  <si>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</si>
  <si>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</si>
  <si>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</si>
  <si>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</si>
  <si>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</si>
  <si>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</si>
  <si>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</si>
  <si>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</si>
  <si>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</si>
  <si>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</si>
  <si>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</si>
  <si>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</si>
  <si>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</si>
  <si>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</si>
  <si>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</si>
  <si>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</si>
  <si>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</si>
  <si>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</si>
  <si>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</si>
  <si>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</si>
  <si>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</si>
  <si>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</si>
  <si>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</si>
  <si>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</si>
  <si>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</si>
  <si>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</si>
  <si>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</si>
  <si>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</si>
  <si>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</si>
  <si>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</si>
  <si>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</si>
  <si>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</si>
  <si>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</si>
  <si>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</si>
  <si>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</si>
  <si>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</si>
  <si>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</si>
  <si>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</si>
  <si>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</si>
  <si>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</si>
  <si>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</si>
  <si>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</si>
  <si>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</si>
  <si>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</si>
  <si>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</si>
  <si>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</si>
  <si>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</si>
  <si>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</si>
  <si>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</si>
  <si>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</si>
  <si>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</si>
  <si>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</si>
  <si>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</si>
  <si>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</si>
  <si>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</si>
  <si>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</si>
  <si>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</si>
  <si>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</si>
  <si>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</si>
  <si>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</si>
  <si>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</si>
  <si>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</si>
  <si>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</si>
  <si>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</si>
  <si>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</si>
  <si>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</si>
  <si>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</si>
  <si>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</si>
  <si>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</si>
  <si>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</si>
  <si>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</si>
  <si>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</si>
  <si>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</si>
  <si>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</si>
  <si>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</si>
  <si>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</si>
  <si>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</si>
  <si>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</si>
  <si>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</si>
  <si>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</si>
  <si>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</si>
  <si>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</si>
  <si>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</si>
  <si>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</si>
  <si>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</si>
  <si>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</si>
  <si>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</si>
  <si>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</si>
  <si>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</si>
  <si>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</si>
  <si>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</si>
  <si>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</si>
  <si>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</si>
  <si>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</si>
  <si>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</si>
  <si>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</si>
  <si>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</si>
  <si>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</si>
  <si>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</si>
  <si>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</si>
  <si>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</si>
  <si>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</si>
  <si>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</si>
  <si>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</si>
  <si>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</si>
  <si>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</si>
  <si>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</si>
  <si>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</si>
  <si>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</si>
  <si>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</si>
  <si>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</si>
  <si>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</si>
  <si>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</si>
  <si>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</si>
  <si>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</si>
  <si>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</si>
  <si>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</si>
  <si>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</si>
  <si>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</si>
  <si>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</si>
  <si>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</si>
  <si>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</si>
  <si>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</si>
  <si>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</si>
  <si>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</si>
  <si>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</si>
  <si>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</si>
  <si>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</si>
  <si>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</si>
  <si>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</si>
  <si>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</si>
  <si>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</si>
  <si>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</si>
  <si>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</si>
  <si>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</si>
  <si>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</si>
  <si>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</si>
  <si>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</si>
  <si>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</si>
  <si>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</si>
  <si>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</si>
  <si>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</si>
  <si>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</si>
  <si>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</si>
  <si>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</si>
  <si>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</si>
  <si>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</si>
  <si>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</si>
  <si>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</si>
  <si>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</si>
  <si>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</si>
  <si>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</si>
  <si>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</si>
  <si>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</si>
  <si>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</si>
  <si>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</si>
  <si>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</si>
  <si>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</si>
  <si>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</si>
  <si>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</si>
  <si>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</si>
  <si>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</si>
  <si>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</si>
  <si>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</si>
  <si>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</si>
  <si>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</si>
  <si>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</si>
  <si>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</si>
  <si>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</si>
  <si>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</si>
  <si>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</si>
  <si>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</si>
  <si>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</si>
  <si>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</si>
  <si>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</si>
  <si>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</si>
  <si>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</si>
  <si>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</si>
  <si>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</si>
  <si>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</si>
  <si>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</si>
  <si>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</si>
  <si>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</si>
  <si>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</si>
  <si>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</si>
  <si>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</si>
  <si>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</si>
  <si>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</si>
  <si>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</si>
  <si>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</si>
  <si>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</si>
  <si>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</si>
  <si>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</si>
  <si>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</si>
  <si>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</si>
  <si>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</si>
  <si>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</si>
  <si>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</si>
  <si>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</si>
  <si>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</si>
  <si>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</si>
  <si>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</si>
  <si>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</si>
  <si>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</si>
  <si>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</si>
  <si>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</si>
  <si>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</si>
  <si>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</si>
  <si>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</si>
  <si>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</si>
  <si>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</si>
  <si>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</si>
  <si>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</si>
  <si>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</si>
  <si>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</si>
  <si>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</si>
  <si>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</si>
  <si>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</si>
  <si>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</si>
  <si>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</si>
  <si>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</si>
  <si>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</si>
  <si>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</si>
  <si>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</si>
  <si>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</si>
  <si>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</si>
  <si>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</si>
  <si>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</si>
  <si>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</si>
  <si>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</si>
  <si>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</si>
  <si>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</si>
  <si>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</si>
  <si>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</si>
  <si>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</si>
  <si>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</si>
  <si>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</si>
  <si>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</si>
  <si>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</si>
  <si>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</si>
  <si>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</si>
  <si>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</si>
  <si>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</si>
  <si>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</si>
  <si>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</si>
  <si>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</si>
  <si>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</si>
  <si>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</si>
  <si>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</si>
  <si>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</si>
  <si>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</si>
  <si>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</si>
  <si>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</si>
  <si>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</si>
  <si>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</si>
  <si>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</si>
  <si>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</si>
  <si>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</si>
  <si>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</si>
  <si>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</si>
  <si>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</si>
  <si>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</si>
  <si>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</si>
  <si>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</si>
  <si>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</si>
  <si>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</si>
  <si>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</si>
  <si>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</si>
  <si>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</si>
  <si>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</si>
  <si>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</si>
  <si>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</si>
  <si>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</si>
  <si>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</si>
  <si>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</si>
  <si>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</si>
  <si>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</si>
  <si>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</si>
  <si>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</si>
  <si>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</si>
  <si>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</si>
  <si>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</si>
  <si>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</si>
  <si>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</si>
  <si>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</si>
  <si>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</si>
  <si>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</si>
  <si>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</si>
  <si>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</si>
  <si>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</si>
  <si>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</si>
  <si>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</si>
  <si>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</si>
  <si>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</si>
  <si>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</si>
  <si>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</si>
  <si>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</si>
  <si>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</si>
  <si>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</si>
  <si>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</si>
  <si>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</si>
  <si>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</si>
  <si>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</si>
  <si>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</si>
  <si>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</si>
  <si>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</si>
  <si>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</si>
  <si>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</si>
  <si>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</si>
  <si>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</si>
  <si>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</si>
  <si>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</si>
  <si>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</si>
  <si>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</si>
  <si>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</si>
  <si>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</si>
  <si>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</si>
  <si>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</si>
  <si>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</si>
  <si>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</si>
  <si>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</si>
  <si>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</si>
  <si>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</si>
  <si>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</si>
  <si>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</si>
  <si>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</si>
  <si>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</si>
  <si>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</si>
  <si>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</si>
  <si>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</si>
  <si>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</si>
  <si>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</si>
  <si>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</si>
  <si>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</si>
  <si>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</si>
  <si>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</si>
  <si>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</si>
  <si>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</si>
  <si>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</si>
  <si>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</si>
  <si>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</si>
  <si>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</si>
  <si>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</si>
  <si>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</si>
  <si>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</si>
  <si>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</si>
  <si>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</si>
  <si>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</si>
  <si>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</si>
  <si>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</si>
  <si>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</si>
  <si>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</si>
  <si>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</si>
  <si>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</si>
  <si>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</si>
  <si>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</si>
  <si>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</si>
  <si>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</si>
  <si>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</si>
  <si>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</si>
  <si>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</si>
  <si>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</si>
  <si>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</si>
  <si>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</si>
  <si>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</si>
  <si>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</si>
  <si>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</si>
  <si>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</si>
  <si>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</si>
  <si>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</si>
  <si>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</si>
  <si>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</si>
  <si>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</si>
  <si>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</si>
  <si>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</si>
  <si>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</si>
  <si>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</si>
  <si>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</si>
  <si>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</si>
  <si>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</si>
  <si>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</si>
  <si>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</si>
  <si>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</si>
  <si>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</si>
  <si>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</si>
  <si>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</si>
  <si>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</si>
  <si>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</si>
  <si>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</si>
  <si>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</si>
  <si>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</si>
  <si>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</si>
  <si>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</si>
  <si>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</si>
  <si>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</si>
  <si>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</si>
  <si>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</si>
  <si>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</si>
  <si>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</si>
  <si>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</si>
  <si>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</si>
  <si>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</si>
  <si>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</si>
  <si>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</si>
  <si>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</si>
  <si>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</si>
  <si>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</si>
  <si>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</si>
  <si>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</si>
  <si>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</si>
  <si>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</si>
  <si>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</si>
  <si>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</si>
  <si>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</si>
  <si>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</si>
  <si>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</si>
  <si>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</si>
  <si>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</si>
  <si>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</si>
  <si>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</si>
  <si>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</si>
  <si>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</si>
  <si>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</si>
  <si>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</si>
  <si>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</si>
  <si>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</si>
  <si>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</si>
  <si>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</si>
  <si>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</si>
  <si>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</si>
  <si>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</si>
  <si>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</si>
  <si>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</si>
  <si>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</si>
  <si>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</si>
  <si>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</si>
  <si>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</si>
  <si>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</si>
  <si>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</si>
  <si>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</si>
  <si>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</si>
  <si>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</si>
  <si>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</si>
  <si>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</si>
  <si>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</si>
  <si>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</si>
  <si>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</si>
  <si>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</si>
  <si>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</si>
  <si>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</si>
  <si>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</si>
  <si>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</si>
  <si>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</si>
  <si>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</si>
  <si>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</si>
  <si>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</si>
  <si>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</si>
  <si>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</si>
  <si>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</si>
  <si>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</si>
  <si>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</si>
  <si>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</si>
  <si>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</si>
  <si>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</si>
  <si>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</si>
  <si>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</si>
  <si>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</si>
  <si>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</si>
  <si>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</si>
  <si>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</si>
  <si>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</si>
  <si>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</si>
  <si>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</si>
  <si>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</si>
  <si>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</si>
  <si>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</si>
  <si>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</si>
  <si>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</si>
  <si>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</si>
  <si>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</si>
  <si>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</si>
  <si>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</si>
  <si>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</si>
  <si>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</si>
  <si>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</si>
  <si>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</si>
  <si>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</si>
  <si>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</si>
  <si>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</si>
  <si>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</si>
  <si>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</si>
  <si>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</si>
  <si>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</si>
  <si>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</si>
  <si>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</si>
  <si>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</si>
  <si>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</si>
  <si>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</si>
  <si>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</si>
  <si>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</si>
  <si>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</si>
  <si>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</si>
  <si>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</si>
  <si>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</si>
  <si>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</si>
  <si>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</si>
  <si>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</si>
  <si>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</si>
  <si>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</si>
  <si>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</si>
  <si>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</si>
  <si>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</si>
  <si>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</si>
  <si>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</si>
  <si>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</si>
  <si>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</si>
  <si>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</si>
  <si>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</si>
  <si>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</si>
  <si>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</si>
  <si>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</si>
  <si>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</si>
  <si>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</si>
  <si>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</si>
  <si>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</si>
  <si>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</si>
  <si>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</si>
  <si>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</si>
  <si>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</si>
  <si>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</si>
  <si>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</si>
  <si>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</si>
  <si>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</si>
  <si>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</si>
  <si>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</si>
  <si>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</si>
  <si>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</si>
  <si>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</si>
  <si>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</si>
  <si>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</si>
  <si>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</si>
  <si>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</si>
  <si>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</si>
  <si>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</si>
  <si>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</si>
  <si>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</si>
  <si>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</si>
  <si>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</si>
  <si>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</si>
  <si>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</si>
  <si>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</si>
  <si>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</si>
  <si>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</si>
  <si>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</si>
  <si>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</si>
  <si>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</si>
  <si>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</si>
  <si>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</si>
  <si>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</si>
  <si>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</si>
  <si>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</si>
  <si>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</si>
  <si>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</si>
  <si>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</si>
  <si>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</si>
  <si>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</si>
  <si>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</si>
  <si>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</si>
  <si>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</si>
  <si>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</si>
  <si>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</si>
  <si>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</si>
  <si>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</si>
  <si>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</si>
  <si>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</si>
  <si>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</si>
  <si>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</si>
  <si>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</si>
  <si>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</si>
  <si>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</si>
  <si>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</si>
  <si>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</si>
  <si>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</si>
  <si>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</si>
  <si>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</si>
  <si>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</si>
  <si>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</si>
  <si>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</si>
  <si>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</si>
  <si>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</si>
  <si>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</si>
  <si>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</si>
  <si>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</si>
  <si>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</si>
  <si>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</si>
  <si>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</si>
  <si>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</si>
  <si>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</si>
  <si>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</si>
  <si>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</si>
  <si>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</si>
  <si>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</si>
  <si>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</si>
  <si>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</si>
  <si>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</si>
  <si>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</si>
  <si>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</si>
  <si>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</si>
  <si>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</si>
  <si>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</si>
  <si>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</si>
  <si>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</si>
  <si>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</si>
  <si>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</si>
  <si>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</si>
  <si>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</si>
  <si>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</si>
  <si>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</si>
  <si>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</si>
  <si>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</si>
  <si>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</si>
  <si>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</si>
  <si>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</si>
  <si>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</si>
  <si>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</si>
  <si>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</si>
  <si>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</si>
  <si>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</si>
  <si>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</si>
  <si>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</si>
  <si>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</si>
  <si>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</si>
  <si>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</si>
  <si>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</si>
  <si>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</si>
  <si>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</si>
  <si>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</si>
  <si>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</si>
  <si>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</si>
  <si>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</si>
  <si>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</si>
  <si>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</si>
  <si>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</si>
  <si>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</si>
  <si>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</si>
  <si>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</si>
  <si>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</si>
  <si>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</si>
  <si>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</si>
  <si>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</si>
  <si>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</si>
  <si>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</si>
  <si>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</si>
  <si>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</si>
  <si>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</si>
  <si>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</si>
  <si>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</si>
  <si>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</si>
  <si>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</si>
  <si>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</si>
  <si>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</si>
  <si>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</si>
  <si>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</si>
  <si>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</si>
  <si>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</si>
  <si>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</si>
  <si>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</si>
  <si>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</si>
  <si>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</si>
  <si>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</si>
  <si>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</si>
  <si>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</si>
  <si>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</si>
  <si>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</si>
  <si>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</si>
  <si>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</si>
  <si>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</si>
  <si>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</si>
  <si>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</si>
  <si>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</si>
  <si>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</si>
  <si>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</si>
  <si>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</si>
  <si>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</si>
  <si>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</si>
  <si>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</si>
  <si>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</si>
  <si>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</si>
  <si>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</si>
  <si>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</si>
  <si>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</si>
  <si>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</si>
  <si>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</si>
  <si>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</si>
  <si>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</si>
  <si>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</si>
  <si>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</si>
  <si>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</si>
  <si>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</si>
  <si>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</si>
  <si>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</si>
  <si>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</si>
  <si>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</si>
  <si>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</si>
  <si>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</si>
  <si>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</si>
  <si>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</si>
  <si>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</si>
  <si>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</si>
  <si>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</si>
  <si>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</si>
  <si>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</si>
  <si>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</si>
  <si>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</si>
  <si>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</si>
  <si>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</si>
  <si>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</si>
  <si>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</si>
  <si>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</si>
  <si>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</si>
  <si>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</si>
  <si>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</si>
  <si>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</si>
  <si>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</si>
  <si>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</si>
  <si>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</si>
  <si>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</si>
  <si>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</si>
  <si>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</si>
  <si>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</si>
  <si>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</si>
  <si>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</si>
  <si>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</si>
  <si>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</si>
  <si>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</si>
  <si>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</si>
  <si>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</si>
  <si>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</si>
  <si>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</si>
  <si>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</si>
  <si>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</si>
  <si>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</si>
  <si>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</si>
  <si>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</si>
  <si>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</si>
  <si>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</si>
  <si>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</si>
  <si>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</si>
  <si>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</si>
  <si>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</si>
  <si>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</si>
  <si>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</si>
  <si>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</si>
  <si>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</si>
  <si>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</si>
  <si>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</si>
  <si>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</si>
  <si>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</si>
  <si>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</si>
  <si>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</si>
  <si>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</si>
  <si>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</si>
  <si>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</si>
  <si>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</si>
  <si>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</si>
  <si>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</si>
  <si>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</si>
  <si>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</si>
  <si>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</si>
  <si>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</si>
  <si>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</si>
  <si>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</si>
  <si>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</si>
  <si>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</si>
  <si>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</si>
  <si>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</si>
  <si>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</si>
  <si>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</si>
  <si>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</si>
  <si>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</si>
  <si>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</si>
  <si>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</si>
  <si>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</si>
  <si>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</si>
  <si>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</si>
  <si>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</si>
  <si>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</si>
  <si>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</si>
  <si>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</si>
  <si>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</si>
  <si>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</si>
  <si>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</si>
  <si>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</si>
  <si>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</si>
  <si>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</si>
  <si>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</si>
  <si>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</si>
  <si>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</si>
  <si>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</si>
  <si>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</si>
  <si>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</si>
  <si>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</si>
  <si>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</si>
  <si>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</si>
  <si>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</si>
  <si>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</si>
  <si>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</si>
  <si>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</si>
  <si>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</si>
  <si>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</si>
  <si>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</si>
  <si>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</si>
  <si>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</si>
  <si>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</si>
  <si>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</si>
  <si>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</si>
  <si>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</si>
  <si>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</si>
  <si>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</si>
  <si>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</si>
  <si>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</si>
  <si>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</si>
  <si>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</si>
  <si>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</si>
  <si>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</si>
  <si>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</si>
  <si>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</si>
  <si>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</si>
  <si>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</si>
  <si>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</si>
  <si>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</si>
  <si>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</si>
  <si>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</si>
  <si>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</si>
  <si>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</si>
  <si>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</si>
  <si>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</si>
  <si>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</si>
  <si>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</si>
  <si>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</si>
  <si>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</si>
  <si>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</si>
  <si>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</si>
  <si>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</si>
  <si>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</si>
  <si>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</si>
  <si>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</si>
  <si>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</si>
  <si>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</si>
  <si>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</si>
  <si>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</si>
  <si>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</si>
  <si>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</si>
  <si>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</si>
  <si>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</si>
  <si>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</si>
  <si>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</si>
  <si>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</si>
  <si>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</si>
  <si>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</si>
  <si>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</si>
  <si>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</si>
  <si>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</si>
  <si>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</si>
  <si>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</si>
  <si>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</si>
  <si>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</si>
  <si>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</si>
  <si>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</si>
  <si>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</si>
  <si>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</si>
  <si>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</si>
  <si>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</si>
  <si>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</si>
  <si>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</si>
  <si>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</si>
  <si>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</si>
  <si>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</si>
  <si>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</si>
  <si>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</si>
  <si>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</si>
  <si>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</si>
  <si>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</si>
  <si>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</si>
  <si>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</si>
  <si>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</si>
  <si>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</si>
  <si>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</si>
  <si>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</si>
  <si>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</si>
  <si>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</si>
  <si>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</si>
  <si>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</si>
  <si>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</si>
  <si>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</si>
  <si>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</si>
  <si>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</si>
  <si>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</si>
  <si>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</si>
  <si>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</si>
  <si>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</si>
  <si>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</si>
  <si>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</si>
  <si>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</si>
  <si>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</si>
  <si>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</si>
  <si>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</si>
  <si>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</si>
  <si>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</si>
  <si>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</si>
  <si>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</si>
  <si>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</si>
  <si>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</si>
  <si>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</si>
  <si>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</si>
  <si>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</si>
  <si>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</si>
  <si>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</si>
  <si>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</si>
  <si>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</si>
  <si>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</si>
  <si>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</si>
  <si>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</si>
  <si>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</si>
  <si>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</si>
  <si>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</si>
  <si>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</si>
  <si>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</si>
  <si>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</si>
  <si>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</si>
  <si>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</si>
  <si>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</si>
  <si>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</si>
  <si>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</si>
  <si>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</si>
  <si>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</si>
  <si>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</si>
  <si>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</si>
  <si>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</si>
  <si>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</si>
  <si>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</si>
  <si>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</si>
  <si>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</si>
  <si>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</si>
  <si>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</si>
  <si>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</si>
  <si>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</si>
  <si>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</si>
  <si>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</si>
  <si>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</si>
  <si>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</si>
  <si>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</si>
  <si>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</si>
  <si>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</si>
  <si>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</si>
  <si>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</si>
  <si>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</si>
  <si>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</si>
  <si>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</si>
  <si>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</si>
  <si>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</si>
  <si>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</si>
  <si>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</si>
  <si>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</si>
  <si>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</si>
  <si>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</si>
  <si>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</si>
  <si>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</si>
  <si>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</si>
  <si>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</si>
  <si>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</si>
  <si>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</si>
  <si>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</si>
  <si>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</si>
  <si>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</si>
  <si>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</si>
  <si>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</si>
  <si>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</si>
  <si>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</si>
  <si>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</si>
  <si>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</si>
  <si>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</si>
  <si>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</si>
  <si>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</si>
  <si>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</si>
  <si>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</si>
  <si>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</si>
  <si>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</si>
  <si>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</si>
  <si>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</si>
  <si>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</si>
  <si>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</si>
  <si>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</si>
  <si>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</si>
  <si>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</si>
  <si>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</si>
  <si>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</si>
  <si>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</si>
  <si>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</si>
  <si>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</si>
  <si>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</si>
  <si>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</si>
  <si>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</si>
  <si>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</si>
  <si>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</si>
  <si>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</si>
  <si>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</si>
  <si>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</si>
  <si>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</si>
  <si>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</si>
  <si>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</si>
  <si>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</si>
  <si>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</si>
  <si>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</si>
  <si>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</si>
  <si>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</si>
  <si>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</si>
  <si>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</si>
  <si>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</si>
  <si>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</si>
  <si>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</si>
  <si>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</si>
  <si>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</si>
  <si>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</si>
  <si>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</si>
  <si>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</si>
  <si>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</si>
  <si>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</si>
  <si>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</si>
  <si>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</si>
  <si>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</si>
  <si>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</si>
  <si>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</si>
  <si>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</si>
  <si>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</si>
  <si>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</si>
  <si>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</si>
  <si>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</si>
  <si>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</si>
  <si>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</si>
  <si>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</si>
  <si>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</si>
  <si>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</si>
  <si>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</si>
  <si>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</si>
  <si>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</si>
  <si>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</si>
  <si>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</si>
  <si>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</si>
  <si>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</si>
  <si>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</si>
  <si>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</si>
  <si>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</si>
  <si>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</si>
  <si>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</si>
  <si>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</si>
  <si>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</si>
  <si>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</si>
  <si>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</si>
  <si>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</si>
  <si>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</si>
  <si>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</si>
  <si>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</si>
  <si>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</si>
  <si>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</si>
  <si>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</si>
  <si>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</si>
  <si>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</si>
  <si>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</si>
  <si>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</si>
  <si>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</si>
  <si>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</si>
  <si>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</si>
  <si>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</si>
  <si>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</si>
  <si>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</si>
  <si>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</si>
  <si>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</si>
  <si>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</si>
  <si>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</si>
  <si>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</si>
  <si>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</si>
  <si>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</si>
  <si>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</si>
  <si>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</si>
  <si>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</si>
  <si>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</si>
  <si>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</si>
  <si>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</si>
  <si>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</si>
  <si>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</si>
  <si>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</si>
  <si>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</si>
  <si>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</si>
  <si>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</si>
  <si>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</si>
  <si>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</si>
  <si>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</si>
  <si>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</si>
  <si>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</si>
  <si>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</si>
  <si>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</si>
  <si>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</si>
  <si>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</si>
  <si>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</si>
  <si>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</si>
  <si>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</si>
  <si>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</si>
  <si>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</si>
  <si>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</si>
  <si>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</si>
  <si>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</si>
  <si>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</si>
  <si>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</si>
  <si>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</si>
  <si>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</si>
  <si>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</si>
  <si>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</si>
  <si>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</si>
  <si>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</si>
  <si>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</si>
  <si>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</si>
  <si>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</si>
  <si>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</si>
  <si>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</si>
  <si>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</si>
  <si>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</si>
  <si>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</si>
  <si>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</si>
  <si>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</si>
  <si>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</si>
  <si>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</si>
  <si>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</si>
  <si>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</si>
  <si>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</si>
  <si>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</si>
  <si>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</si>
  <si>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</si>
  <si>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</si>
  <si>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</si>
  <si>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</si>
  <si>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</si>
  <si>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</si>
  <si>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</si>
  <si>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</si>
  <si>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</si>
  <si>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</si>
  <si>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</si>
  <si>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</si>
  <si>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</si>
  <si>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</si>
  <si>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</si>
  <si>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</si>
  <si>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</si>
  <si>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</si>
  <si>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</si>
  <si>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</si>
  <si>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</si>
  <si>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</si>
  <si>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</si>
  <si>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</si>
  <si>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</si>
  <si>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</si>
  <si>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</si>
  <si>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</si>
  <si>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</si>
  <si>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</si>
  <si>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</si>
  <si>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</si>
  <si>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</si>
  <si>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</si>
  <si>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</si>
  <si>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</si>
  <si>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</si>
  <si>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</si>
  <si>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</si>
  <si>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</si>
  <si>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</si>
  <si>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</si>
  <si>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</si>
  <si>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</si>
  <si>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</si>
  <si>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</si>
  <si>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</si>
  <si>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</si>
  <si>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</si>
  <si>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</si>
  <si>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</si>
  <si>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</si>
  <si>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</si>
  <si>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</si>
  <si>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</si>
  <si>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</si>
  <si>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</si>
  <si>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</si>
  <si>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</si>
  <si>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</si>
  <si>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</si>
  <si>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</si>
  <si>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</si>
  <si>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</si>
  <si>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</si>
  <si>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</si>
  <si>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</si>
  <si>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</si>
  <si>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</si>
  <si>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</si>
  <si>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</si>
  <si>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</si>
  <si>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</si>
  <si>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</si>
  <si>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</si>
  <si>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</si>
  <si>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</si>
  <si>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</si>
  <si>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</si>
  <si>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</si>
  <si>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</si>
  <si>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</si>
  <si>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</si>
  <si>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</si>
  <si>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</si>
  <si>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</si>
  <si>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</si>
  <si>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</si>
  <si>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</si>
  <si>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</si>
  <si>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</si>
  <si>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</si>
  <si>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</si>
  <si>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</si>
  <si>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</si>
  <si>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</si>
  <si>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</si>
  <si>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</si>
  <si>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</si>
  <si>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</si>
  <si>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</si>
  <si>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</si>
  <si>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</si>
  <si>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</si>
  <si>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</si>
  <si>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</si>
  <si>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</si>
  <si>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</si>
  <si>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</si>
  <si>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</si>
  <si>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</si>
  <si>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</si>
  <si>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</si>
  <si>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</si>
  <si>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</si>
  <si>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</si>
  <si>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</si>
  <si>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</si>
  <si>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</si>
  <si>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</si>
  <si>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</si>
  <si>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</si>
  <si>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</si>
  <si>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</si>
  <si>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</si>
  <si>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</si>
  <si>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</si>
  <si>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</si>
  <si>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</si>
  <si>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</si>
  <si>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</si>
  <si>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</si>
  <si>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</si>
  <si>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</si>
  <si>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</si>
  <si>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</si>
  <si>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</si>
  <si>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</si>
  <si>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</si>
  <si>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</si>
  <si>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</si>
  <si>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</si>
  <si>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</si>
  <si>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</si>
  <si>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</si>
  <si>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</si>
  <si>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</si>
  <si>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</si>
  <si>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</si>
  <si>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</si>
  <si>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</si>
  <si>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</si>
  <si>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</si>
  <si>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</si>
  <si>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</si>
  <si>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</si>
  <si>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</si>
  <si>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</si>
  <si>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</si>
  <si>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</si>
  <si>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</si>
  <si>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</si>
  <si>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</si>
  <si>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</si>
  <si>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</si>
  <si>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</si>
  <si>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</si>
  <si>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</si>
  <si>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</si>
  <si>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</si>
  <si>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</si>
  <si>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</si>
  <si>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</si>
  <si>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</si>
  <si>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</si>
  <si>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</si>
  <si>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</si>
  <si>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</si>
  <si>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</si>
  <si>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</si>
  <si>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</si>
  <si>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</si>
  <si>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</si>
  <si>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</si>
  <si>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</si>
  <si>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</si>
  <si>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</si>
  <si>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</si>
  <si>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</si>
  <si>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</si>
  <si>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</si>
  <si>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</si>
  <si>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</si>
  <si>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</si>
  <si>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</si>
  <si>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</si>
  <si>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</si>
  <si>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</si>
  <si>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</si>
  <si>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</si>
  <si>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</si>
  <si>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</si>
  <si>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</si>
  <si>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</si>
  <si>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</si>
  <si>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</si>
  <si>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</si>
  <si>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</si>
  <si>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</si>
  <si>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</si>
  <si>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</si>
  <si>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</si>
  <si>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</si>
  <si>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</si>
  <si>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</si>
  <si>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</si>
  <si>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</si>
  <si>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</si>
  <si>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</si>
  <si>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</si>
  <si>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</si>
  <si>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</si>
  <si>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</si>
  <si>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</si>
  <si>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</si>
  <si>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</si>
  <si>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</si>
  <si>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</si>
  <si>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</si>
  <si>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</si>
  <si>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</si>
  <si>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</si>
  <si>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</si>
  <si>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</si>
  <si>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</si>
  <si>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</si>
  <si>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</si>
  <si>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</si>
  <si>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</si>
  <si>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</si>
  <si>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</si>
  <si>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</si>
  <si>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</si>
  <si>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</si>
  <si>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</si>
  <si>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</si>
  <si>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</si>
  <si>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</si>
  <si>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</si>
  <si>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</si>
  <si>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</si>
  <si>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</si>
  <si>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</si>
  <si>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</si>
  <si>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</si>
  <si>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</si>
  <si>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</si>
  <si>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</si>
  <si>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</si>
  <si>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</si>
  <si>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</si>
  <si>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</si>
  <si>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</si>
  <si>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</si>
  <si>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</si>
  <si>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</si>
  <si>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</si>
  <si>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</si>
  <si>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</si>
  <si>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</si>
  <si>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</si>
  <si>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</si>
  <si>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</si>
  <si>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</si>
  <si>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</si>
  <si>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</si>
  <si>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</si>
  <si>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</si>
  <si>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</si>
  <si>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</si>
  <si>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</si>
  <si>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</si>
  <si>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</si>
  <si>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</si>
  <si>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</si>
  <si>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</si>
  <si>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</si>
  <si>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</si>
  <si>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</si>
  <si>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</si>
  <si>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</si>
  <si>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</si>
  <si>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</si>
  <si>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</si>
  <si>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</si>
  <si>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</si>
  <si>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</si>
  <si>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</si>
  <si>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</si>
  <si>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</si>
  <si>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</si>
  <si>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</si>
  <si>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</si>
  <si>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</si>
  <si>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</si>
  <si>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</si>
  <si>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</si>
  <si>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</si>
  <si>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</si>
  <si>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</si>
  <si>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</si>
  <si>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</si>
  <si>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</si>
  <si>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</si>
  <si>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</si>
  <si>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</si>
  <si>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</si>
  <si>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</si>
  <si>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</si>
  <si>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</si>
  <si>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</si>
  <si>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</si>
  <si>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</si>
  <si>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</si>
  <si>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</si>
  <si>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</si>
  <si>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</si>
  <si>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</si>
  <si>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</si>
  <si>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</si>
  <si>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</si>
  <si>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</si>
  <si>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</si>
  <si>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</si>
  <si>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</si>
  <si>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</si>
  <si>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</si>
  <si>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</si>
  <si>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</si>
  <si>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</si>
  <si>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</si>
  <si>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</si>
  <si>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</si>
  <si>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</si>
  <si>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</si>
  <si>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</si>
  <si>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</si>
  <si>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</si>
  <si>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</si>
  <si>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</si>
  <si>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</si>
  <si>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</si>
  <si>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</si>
  <si>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</si>
  <si>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</si>
  <si>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</si>
  <si>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</si>
  <si>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</si>
  <si>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</si>
  <si>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</si>
  <si>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</si>
  <si>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</si>
  <si>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</si>
  <si>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</si>
  <si>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</si>
  <si>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</si>
  <si>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</si>
  <si>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</si>
  <si>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</si>
  <si>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</si>
  <si>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</si>
  <si>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</si>
  <si>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</si>
  <si>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</si>
  <si>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</si>
  <si>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</si>
  <si>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</si>
  <si>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</si>
  <si>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</si>
  <si>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</si>
  <si>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</si>
  <si>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</si>
  <si>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</si>
  <si>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</si>
  <si>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</si>
  <si>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</si>
  <si>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</si>
  <si>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</si>
  <si>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</si>
  <si>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</si>
  <si>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</si>
  <si>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</si>
  <si>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</si>
  <si>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</si>
  <si>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</si>
  <si>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</si>
  <si>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</si>
  <si>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</si>
  <si>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</si>
  <si>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</si>
  <si>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</si>
  <si>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</si>
  <si>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</si>
  <si>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</si>
  <si>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</si>
  <si>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</si>
  <si>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</si>
  <si>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</si>
  <si>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</si>
  <si>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</si>
  <si>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</si>
  <si>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</si>
  <si>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</si>
  <si>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</si>
  <si>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</si>
  <si>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</si>
  <si>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</si>
  <si>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</si>
  <si>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</si>
  <si>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</si>
  <si>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</si>
  <si>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</si>
  <si>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</si>
  <si>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</si>
  <si>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</si>
  <si>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</si>
  <si>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</si>
  <si>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</si>
  <si>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</si>
  <si>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</si>
  <si>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</si>
  <si>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</si>
  <si>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</si>
  <si>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</si>
  <si>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</si>
  <si>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</si>
  <si>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</si>
  <si>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</si>
  <si>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</si>
  <si>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</si>
  <si>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</si>
  <si>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</si>
  <si>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</si>
  <si>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</si>
  <si>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</si>
  <si>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</si>
  <si>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</si>
  <si>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</si>
  <si>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</si>
  <si>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</si>
  <si>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</si>
  <si>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</si>
  <si>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</si>
  <si>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</si>
  <si>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</si>
  <si>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</si>
  <si>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</si>
  <si>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</si>
  <si>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</si>
  <si>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</si>
  <si>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</si>
  <si>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</si>
  <si>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</si>
  <si>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</si>
  <si>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</si>
  <si>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</si>
  <si>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</si>
  <si>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</si>
  <si>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</si>
  <si>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</si>
  <si>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</si>
  <si>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</si>
  <si>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</si>
  <si>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</si>
  <si>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</si>
  <si>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</si>
  <si>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</si>
  <si>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</si>
  <si>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</si>
  <si>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</si>
  <si>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</si>
  <si>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</si>
  <si>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</si>
  <si>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</si>
  <si>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</si>
  <si>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</si>
  <si>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</si>
  <si>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</si>
  <si>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</si>
  <si>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</si>
  <si>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</si>
  <si>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</si>
  <si>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</si>
  <si>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</si>
  <si>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</si>
  <si>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</si>
  <si>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</si>
  <si>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</si>
  <si>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</si>
  <si>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</si>
  <si>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</si>
  <si>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</si>
  <si>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</si>
  <si>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</si>
  <si>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</si>
  <si>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</si>
  <si>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</si>
  <si>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</si>
  <si>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</si>
  <si>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</si>
  <si>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</si>
  <si>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</si>
  <si>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</si>
  <si>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</si>
  <si>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</si>
  <si>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</si>
  <si>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</si>
  <si>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</si>
  <si>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</si>
  <si>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</si>
  <si>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</si>
  <si>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</si>
  <si>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</si>
  <si>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</si>
  <si>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</si>
  <si>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</si>
  <si>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</si>
  <si>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</si>
  <si>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</si>
  <si>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</si>
  <si>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</si>
  <si>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</si>
  <si>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</si>
  <si>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</si>
  <si>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</si>
  <si>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</si>
  <si>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</si>
  <si>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</si>
  <si>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</si>
  <si>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</si>
  <si>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</si>
  <si>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</si>
  <si>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</si>
  <si>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</si>
  <si>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</si>
  <si>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</si>
  <si>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</si>
  <si>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</si>
  <si>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</si>
  <si>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</si>
  <si>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</si>
  <si>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</si>
  <si>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</si>
  <si>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</si>
  <si>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</si>
  <si>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</si>
  <si>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</si>
  <si>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</si>
  <si>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</si>
  <si>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</si>
  <si>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</si>
  <si>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</si>
  <si>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</si>
  <si>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</si>
  <si>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</si>
  <si>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</si>
  <si>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</si>
  <si>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</si>
  <si>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</si>
  <si>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</si>
  <si>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</si>
  <si>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</si>
  <si>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</si>
  <si>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</si>
  <si>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</si>
  <si>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</si>
  <si>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</si>
  <si>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</si>
  <si>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</si>
  <si>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</si>
  <si>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</si>
  <si>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</si>
  <si>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</si>
  <si>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</si>
  <si>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</si>
  <si>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</si>
  <si>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</si>
  <si>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</si>
  <si>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</si>
  <si>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</si>
  <si>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</si>
  <si>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</si>
  <si>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</si>
  <si>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</si>
  <si>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</si>
  <si>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</si>
  <si>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</si>
  <si>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</si>
  <si>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</si>
  <si>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</si>
  <si>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</si>
  <si>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</si>
  <si>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</si>
  <si>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</si>
  <si>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</si>
  <si>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</si>
  <si>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</si>
  <si>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</si>
  <si>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</si>
  <si>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</si>
  <si>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</si>
  <si>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</si>
  <si>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</si>
  <si>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</si>
  <si>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</si>
  <si>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</si>
  <si>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</si>
  <si>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</si>
  <si>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</si>
  <si>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</si>
  <si>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</si>
  <si>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</si>
  <si>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</si>
  <si>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</si>
  <si>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</si>
  <si>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</si>
  <si>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</si>
  <si>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</si>
  <si>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</si>
  <si>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</si>
  <si>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</si>
  <si>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</si>
  <si>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</si>
  <si>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</si>
  <si>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</si>
  <si>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</si>
  <si>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</si>
  <si>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</si>
  <si>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</si>
  <si>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</si>
  <si>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</si>
  <si>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</si>
  <si>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</si>
  <si>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</si>
  <si>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</si>
  <si>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</si>
  <si>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</si>
  <si>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</si>
  <si>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</si>
  <si>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</si>
  <si>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</si>
  <si>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</si>
  <si>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</si>
  <si>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</si>
  <si>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</si>
  <si>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</si>
  <si>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</si>
  <si>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</si>
  <si>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</si>
  <si>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</si>
  <si>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</si>
  <si>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</si>
  <si>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</si>
  <si>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</si>
  <si>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</si>
  <si>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</si>
  <si>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</si>
  <si>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</si>
  <si>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</si>
  <si>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</si>
  <si>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</si>
  <si>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</si>
  <si>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</si>
  <si>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</si>
  <si>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</si>
  <si>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</si>
  <si>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</si>
  <si>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</si>
  <si>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</si>
  <si>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</si>
  <si>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</si>
  <si>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</si>
  <si>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</si>
  <si>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</si>
  <si>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</si>
  <si>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</si>
  <si>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</si>
  <si>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</si>
  <si>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</si>
  <si>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</si>
  <si>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</si>
  <si>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</si>
  <si>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</si>
  <si>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</si>
  <si>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</si>
  <si>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</si>
  <si>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</si>
  <si>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</si>
  <si>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</si>
  <si>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</si>
  <si>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</si>
  <si>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</si>
  <si>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</si>
  <si>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</si>
  <si>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</si>
  <si>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</si>
  <si>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</si>
  <si>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</si>
  <si>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</si>
  <si>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</si>
  <si>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</si>
  <si>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</si>
  <si>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</si>
  <si>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</si>
  <si>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</si>
  <si>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</si>
  <si>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</si>
  <si>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</si>
  <si>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</si>
  <si>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</si>
  <si>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</si>
  <si>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</si>
  <si>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</si>
  <si>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</si>
  <si>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</si>
  <si>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</si>
  <si>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</si>
  <si>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</si>
  <si>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</si>
  <si>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</si>
  <si>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</si>
  <si>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</si>
  <si>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</si>
  <si>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</si>
  <si>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</si>
  <si>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</si>
  <si>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</si>
  <si>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</si>
  <si>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</si>
  <si>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</si>
  <si>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</si>
  <si>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</si>
  <si>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</si>
  <si>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</si>
  <si>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</si>
  <si>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</si>
  <si>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</si>
  <si>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</si>
  <si>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</si>
  <si>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</si>
  <si>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</si>
  <si>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</si>
  <si>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</si>
  <si>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</si>
  <si>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</si>
  <si>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</si>
  <si>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</si>
  <si>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</si>
  <si>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</si>
  <si>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</si>
  <si>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</si>
  <si>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</si>
  <si>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</si>
  <si>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</si>
  <si>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</si>
  <si>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</si>
  <si>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</si>
  <si>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</si>
  <si>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</si>
  <si>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</si>
  <si>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</si>
  <si>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</si>
  <si>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</si>
  <si>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</si>
  <si>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</si>
  <si>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</si>
  <si>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</si>
  <si>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</si>
  <si>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</si>
  <si>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</si>
  <si>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</si>
  <si>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</si>
  <si>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</si>
  <si>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</si>
  <si>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</si>
  <si>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</si>
  <si>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</si>
  <si>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</si>
  <si>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</si>
  <si>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</si>
  <si>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</si>
  <si>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</si>
  <si>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</si>
  <si>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</si>
  <si>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</si>
  <si>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</si>
  <si>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</si>
  <si>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</si>
  <si>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</si>
  <si>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</si>
  <si>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</si>
  <si>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</si>
  <si>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</si>
  <si>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</si>
  <si>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</si>
  <si>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</si>
  <si>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</si>
  <si>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</si>
  <si>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</si>
  <si>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</si>
  <si>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</si>
  <si>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</si>
  <si>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</si>
  <si>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</si>
  <si>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</si>
  <si>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</si>
  <si>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</si>
  <si>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</si>
  <si>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</si>
  <si>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</si>
  <si>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</si>
  <si>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</si>
  <si>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</si>
  <si>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</si>
  <si>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</si>
  <si>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</si>
  <si>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</si>
  <si>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</si>
  <si>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</si>
  <si>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</si>
  <si>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</si>
  <si>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</si>
  <si>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</si>
  <si>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</si>
  <si>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</si>
  <si>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</si>
  <si>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</si>
  <si>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</si>
  <si>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</si>
  <si>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</si>
  <si>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</si>
  <si>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</si>
  <si>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</si>
  <si>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</si>
  <si>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</si>
  <si>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</si>
  <si>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</si>
  <si>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</si>
  <si>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</si>
  <si>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</si>
  <si>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</si>
  <si>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</si>
  <si>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</si>
  <si>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</si>
  <si>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</si>
  <si>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</si>
  <si>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</si>
  <si>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</si>
  <si>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</si>
  <si>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</si>
  <si>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</si>
  <si>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</si>
  <si>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</si>
  <si>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</si>
  <si>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</si>
  <si>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</si>
  <si>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</si>
  <si>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</si>
  <si>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</si>
  <si>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</si>
  <si>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</si>
  <si>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</si>
  <si>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</si>
  <si>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</si>
  <si>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</si>
  <si>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</si>
  <si>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</si>
  <si>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</si>
  <si>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</si>
  <si>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</si>
  <si>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</si>
  <si>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</si>
  <si>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</si>
  <si>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</si>
  <si>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</si>
  <si>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</si>
  <si>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</si>
  <si>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</si>
  <si>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</si>
  <si>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</si>
  <si>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</si>
  <si>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</si>
  <si>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</si>
  <si>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</si>
  <si>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</si>
  <si>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</si>
  <si>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</si>
  <si>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</si>
  <si>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</si>
  <si>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</si>
  <si>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</si>
  <si>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</si>
  <si>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</si>
  <si>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</si>
  <si>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</si>
  <si>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</si>
  <si>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</si>
  <si>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</si>
  <si>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</si>
  <si>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</si>
  <si>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</si>
  <si>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</si>
  <si>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</si>
  <si>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</si>
  <si>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</si>
  <si>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</si>
  <si>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</si>
  <si>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</si>
  <si>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</si>
  <si>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</si>
  <si>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</si>
  <si>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</si>
  <si>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</si>
  <si>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</si>
  <si>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</si>
  <si>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</si>
  <si>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</si>
  <si>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</si>
  <si>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</si>
  <si>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</si>
  <si>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</si>
  <si>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</si>
  <si>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</si>
  <si>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</si>
  <si>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</si>
  <si>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</si>
  <si>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</si>
  <si>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</si>
  <si>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</si>
  <si>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</si>
  <si>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</si>
  <si>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</si>
  <si>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</si>
  <si>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</si>
  <si>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</si>
  <si>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</si>
  <si>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</si>
  <si>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</si>
  <si>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</si>
  <si>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</si>
  <si>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</si>
  <si>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</si>
  <si>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</si>
  <si>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</si>
  <si>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</si>
  <si>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</si>
  <si>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</si>
  <si>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</si>
  <si>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</si>
  <si>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</si>
  <si>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</si>
  <si>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</si>
  <si>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</si>
  <si>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</si>
  <si>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</si>
  <si>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</si>
  <si>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</si>
  <si>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</si>
  <si>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</si>
  <si>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</si>
  <si>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</si>
  <si>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</si>
  <si>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</si>
  <si>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</si>
  <si>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</si>
  <si>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</si>
  <si>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</si>
  <si>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</si>
  <si>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</si>
  <si>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</si>
  <si>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</si>
  <si>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</si>
  <si>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</si>
  <si>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</si>
  <si>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</si>
  <si>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</si>
  <si>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</si>
  <si>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</si>
  <si>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</si>
  <si>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</si>
  <si>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</si>
  <si>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</si>
  <si>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</si>
  <si>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</si>
  <si>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</si>
  <si>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</si>
  <si>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</si>
  <si>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</si>
  <si>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</si>
  <si>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</si>
  <si>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</si>
  <si>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</si>
  <si>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</si>
  <si>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</si>
  <si>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</si>
  <si>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</si>
  <si>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</si>
  <si>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</si>
  <si>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</si>
  <si>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</si>
  <si>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</si>
  <si>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</si>
  <si>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</si>
  <si>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</si>
  <si>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</si>
  <si>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</si>
  <si>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</si>
  <si>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</si>
  <si>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</si>
  <si>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</si>
  <si>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</si>
  <si>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</si>
  <si>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</si>
  <si>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</si>
  <si>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</si>
  <si>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</si>
  <si>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</si>
  <si>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</si>
  <si>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</si>
  <si>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</si>
  <si>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</si>
  <si>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</si>
  <si>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</si>
  <si>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</si>
  <si>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</si>
  <si>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</si>
  <si>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</si>
  <si>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</si>
  <si>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</si>
  <si>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</si>
  <si>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</si>
  <si>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</si>
  <si>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</si>
  <si>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</si>
  <si>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</si>
  <si>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</si>
  <si>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</si>
  <si>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</si>
  <si>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</si>
  <si>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</si>
  <si>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</si>
  <si>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</si>
  <si>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</si>
  <si>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</si>
  <si>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</si>
  <si>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</si>
  <si>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</si>
  <si>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</si>
  <si>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</si>
  <si>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</si>
  <si>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</si>
  <si>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</si>
  <si>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</si>
  <si>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</si>
  <si>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</si>
  <si>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</si>
  <si>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</si>
  <si>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</si>
  <si>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</si>
  <si>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</si>
  <si>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</si>
  <si>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</si>
  <si>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</si>
  <si>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</si>
  <si>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</si>
  <si>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</si>
  <si>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</si>
  <si>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</si>
  <si>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</si>
  <si>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</si>
  <si>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</si>
  <si>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</si>
  <si>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</si>
  <si>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</si>
  <si>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</si>
  <si>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</si>
  <si>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</si>
  <si>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</si>
  <si>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</si>
  <si>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</si>
  <si>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</si>
  <si>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</si>
  <si>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</si>
  <si>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</si>
  <si>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</si>
  <si>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</si>
  <si>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</si>
  <si>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</si>
  <si>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</si>
  <si>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</si>
  <si>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</si>
  <si>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</si>
  <si>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</si>
  <si>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</si>
  <si>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</si>
  <si>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</si>
  <si>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</si>
  <si>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</si>
  <si>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</si>
  <si>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</si>
  <si>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</si>
  <si>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</si>
  <si>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</si>
  <si>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</si>
  <si>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</si>
  <si>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</si>
  <si>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</si>
  <si>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</si>
  <si>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</si>
  <si>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</si>
  <si>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</si>
  <si>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</si>
  <si>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</si>
  <si>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</si>
  <si>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</si>
  <si>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</si>
  <si>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</si>
  <si>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</si>
  <si>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</si>
  <si>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</si>
  <si>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</si>
  <si>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</si>
  <si>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</si>
  <si>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</si>
  <si>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</si>
  <si>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</si>
  <si>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</si>
  <si>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</si>
  <si>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</si>
  <si>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</si>
  <si>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</si>
  <si>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</si>
  <si>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</si>
  <si>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</si>
  <si>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</si>
  <si>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</si>
  <si>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</si>
  <si>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</si>
  <si>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</si>
  <si>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</si>
  <si>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</si>
  <si>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</si>
  <si>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</si>
  <si>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</si>
  <si>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</si>
  <si>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</si>
  <si>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</si>
  <si>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</si>
  <si>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</si>
  <si>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</si>
  <si>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</si>
  <si>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</si>
  <si>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</si>
  <si>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</si>
  <si>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</si>
  <si>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</si>
  <si>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</si>
  <si>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</si>
  <si>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</si>
  <si>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</si>
  <si>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</si>
  <si>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</si>
  <si>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</si>
  <si>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</si>
  <si>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</si>
  <si>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</si>
  <si>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</si>
  <si>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</si>
  <si>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</si>
  <si>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</si>
  <si>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</si>
  <si>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</si>
  <si>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</si>
  <si>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</si>
  <si>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</si>
  <si>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</si>
  <si>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</si>
  <si>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</si>
  <si>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</si>
  <si>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</si>
  <si>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</si>
  <si>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</si>
  <si>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</si>
  <si>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</si>
  <si>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</si>
  <si>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</si>
  <si>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</si>
  <si>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</si>
  <si>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</si>
  <si>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</si>
  <si>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</si>
  <si>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</si>
  <si>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</si>
  <si>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</si>
  <si>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</si>
  <si>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</si>
  <si>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</si>
  <si>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</si>
  <si>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</si>
  <si>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</si>
  <si>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</si>
  <si>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</si>
  <si>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</si>
  <si>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</si>
  <si>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</si>
  <si>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</si>
  <si>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</si>
  <si>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</si>
  <si>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</si>
  <si>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</si>
  <si>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</si>
  <si>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</si>
  <si>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</si>
  <si>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</si>
  <si>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</si>
  <si>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</si>
  <si>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</si>
  <si>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</si>
  <si>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</si>
  <si>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</si>
  <si>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</si>
  <si>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</si>
  <si>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</si>
  <si>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</si>
  <si>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</si>
  <si>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</si>
  <si>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</si>
  <si>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</si>
  <si>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</si>
  <si>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</si>
  <si>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</si>
  <si>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</si>
  <si>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</si>
  <si>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</si>
  <si>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</si>
  <si>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</si>
  <si>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</si>
  <si>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</si>
  <si>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</si>
  <si>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</si>
  <si>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</si>
  <si>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</si>
  <si>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</si>
  <si>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</si>
  <si>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</si>
  <si>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</si>
  <si>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</si>
  <si>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</si>
  <si>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</si>
  <si>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</si>
  <si>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</si>
  <si>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</si>
  <si>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</si>
  <si>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</si>
  <si>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</si>
  <si>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</si>
  <si>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</si>
  <si>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</si>
  <si>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</si>
  <si>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</si>
  <si>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</si>
  <si>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</si>
  <si>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</si>
  <si>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</si>
  <si>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</si>
  <si>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</si>
  <si>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</si>
  <si>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</si>
  <si>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</si>
  <si>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</si>
  <si>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</si>
  <si>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</si>
  <si>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</si>
  <si>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</si>
  <si>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</si>
  <si>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</si>
  <si>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</si>
  <si>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</si>
  <si>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</si>
  <si>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</si>
  <si>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</si>
  <si>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</si>
  <si>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</si>
  <si>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</si>
  <si>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</si>
  <si>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</si>
  <si>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</si>
  <si>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</si>
  <si>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</si>
  <si>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</si>
  <si>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</si>
  <si>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</si>
  <si>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</si>
  <si>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</si>
  <si>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</si>
  <si>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</si>
  <si>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</si>
  <si>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</si>
  <si>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</si>
  <si>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</si>
  <si>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</si>
  <si>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</si>
  <si>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</si>
  <si>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</si>
  <si>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</si>
  <si>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</si>
  <si>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</si>
  <si>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</si>
  <si>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</si>
  <si>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</si>
  <si>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</si>
  <si>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</si>
  <si>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</si>
  <si>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</si>
  <si>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</si>
  <si>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</si>
  <si>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</si>
  <si>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</si>
  <si>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</si>
  <si>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</si>
  <si>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</si>
  <si>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</si>
  <si>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</si>
  <si>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</si>
  <si>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</si>
  <si>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</si>
  <si>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</si>
  <si>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</si>
  <si>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</si>
  <si>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</si>
  <si>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</si>
  <si>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</si>
  <si>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</si>
  <si>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</si>
  <si>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</si>
  <si>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</si>
  <si>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</si>
  <si>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</si>
  <si>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</si>
  <si>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</si>
  <si>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</si>
  <si>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</si>
  <si>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</si>
  <si>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</si>
  <si>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</si>
  <si>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</si>
  <si>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</si>
  <si>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</si>
  <si>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</si>
  <si>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</si>
  <si>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</si>
  <si>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</si>
  <si>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</si>
  <si>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</si>
  <si>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</si>
  <si>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</si>
  <si>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</si>
  <si>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</si>
  <si>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</si>
  <si>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</si>
  <si>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</si>
  <si>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</si>
  <si>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</si>
  <si>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</si>
  <si>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</si>
  <si>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</si>
  <si>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</si>
  <si>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</si>
  <si>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</si>
  <si>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</si>
  <si>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</si>
  <si>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</si>
  <si>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</si>
  <si>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</si>
  <si>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</si>
  <si>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</si>
  <si>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</si>
  <si>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</si>
  <si>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</si>
  <si>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</si>
  <si>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</si>
  <si>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</si>
  <si>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</si>
  <si>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</si>
  <si>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</si>
  <si>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</si>
  <si>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</si>
  <si>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</si>
  <si>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</si>
  <si>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</si>
  <si>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</si>
  <si>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</si>
  <si>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</si>
  <si>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</si>
  <si>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</si>
  <si>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</si>
  <si>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</si>
  <si>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</si>
  <si>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</si>
  <si>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</si>
  <si>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Cinthia Thais de Carvalho Luz Thomazi; Adriana Cuoco Portugal; Fernanda Viana de Souza; Denise Duarte Guirra Kuhlmann;  Priscila Nolasco; Luiz Felipe Tenório de Lima Gondim</t>
  </si>
  <si>
    <t>21/08/2026</t>
  </si>
  <si>
    <t>24/09/2026 e 25/09/2026</t>
  </si>
  <si>
    <t>08/10/2026 e 09/10/2026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</si>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</sst>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H1" zoomScaleNormal="100" workbookViewId="0">
      <pane ySplit="1" topLeftCell="E703" activePane="bottomLeft" state="frozen"/>
      <selection pane="bottomLeft" activeCell="I706" sqref="I706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46255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2844</v>
      </c>
      <c r="E710" s="210" t="s">
        <v>2845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2846</v>
      </c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77" activePane="bottomLeft" state="frozen"/>
      <selection pane="bottomLeft" activeCell="D83" sqref="D83"/>
    </sheetView>
  </sheetViews>
  <sheetFormatPr defaultRowHeight="15" outlineLevelCol="1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2896</v>
      </c>
      <c r="Y42" t="s">
        <v>2846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2897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2897</v>
      </c>
      <c r="Y44" s="95" t="s">
        <v>2875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2898</v>
      </c>
      <c r="Y45" t="s">
        <v>2899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2898</v>
      </c>
      <c r="Y46" t="s">
        <v>2900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2898</v>
      </c>
      <c r="Y47" t="s">
        <v>2901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2898</v>
      </c>
      <c r="Y48" t="s">
        <v>2902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Cinthia Thais de Carvalho Luz Thomazi</v>
      </c>
      <c r="G83">
        <v>6</v>
      </c>
      <c r="H83">
        <v>4</v>
      </c>
      <c r="I83">
        <v>0.19999999999999998</v>
      </c>
      <c r="J83">
        <v>4.2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Adriana Cuoco Portugal</v>
      </c>
      <c r="G84">
        <v>6</v>
      </c>
      <c r="H84">
        <v>4</v>
      </c>
      <c r="I84">
        <v>0.19999999999999998</v>
      </c>
      <c r="J84">
        <v>4.2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6</v>
      </c>
      <c r="H85">
        <v>4</v>
      </c>
      <c r="I85">
        <v>0.19999999999999998</v>
      </c>
      <c r="J85">
        <v>4.2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Denise Duarte Guirra Kuhlmann</v>
      </c>
      <c r="G86">
        <v>6</v>
      </c>
      <c r="H86">
        <v>4</v>
      </c>
      <c r="I86">
        <v>0.19999999999999998</v>
      </c>
      <c r="J86">
        <v>4.2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</v>
      </c>
      <c r="G87">
        <v>6</v>
      </c>
      <c r="H87">
        <v>4</v>
      </c>
      <c r="I87">
        <v>0.19999999999999998</v>
      </c>
      <c r="J87">
        <v>4.2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4</v>
      </c>
      <c r="F88" t="str">
        <v>Luiz Felipe Tenório de Lima Gondim</v>
      </c>
      <c r="G88">
        <v>6</v>
      </c>
      <c r="H88">
        <v>4</v>
      </c>
      <c r="I88">
        <v>0.19999999999999998</v>
      </c>
      <c r="J88">
        <v>4.2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2907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2908</v>
      </c>
      <c r="B4" s="282"/>
      <c r="D4" s="283" t="s">
        <v>2909</v>
      </c>
      <c r="E4" s="284"/>
      <c r="G4" s="125" t="s">
        <v>2910</v>
      </c>
    </row>
    <row r="5" spans="1:7" ht="54.95" customHeight="1" thickBot="1">
      <c r="A5" s="115">
        <f>COUNTIF('Ações InCompany'!B:B,2026)</f>
        <v>54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16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2912</v>
      </c>
      <c r="B8" s="279"/>
      <c r="D8" s="279" t="s">
        <v>2913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>
      <c r="A30" s="279" t="s">
        <v>2922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2920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>
      <c r="A2" s="258" t="s">
        <v>23</v>
      </c>
      <c r="B2" s="258" t="s">
        <v>35</v>
      </c>
      <c r="C2" s="12" t="s">
        <v>2957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2972</v>
      </c>
      <c r="B1" s="292"/>
      <c r="C1" s="292"/>
      <c r="D1" s="292"/>
      <c r="E1" s="292"/>
      <c r="F1" s="292"/>
    </row>
    <row r="2" spans="1:7">
      <c r="A2" s="293" t="s">
        <v>2973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2851</v>
      </c>
      <c r="C4" s="102" t="s">
        <v>2852</v>
      </c>
      <c r="D4" s="102" t="s">
        <v>2974</v>
      </c>
      <c r="E4" s="102" t="s">
        <v>2853</v>
      </c>
      <c r="F4" s="102" t="s">
        <v>2975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20</v>
      </c>
      <c r="C5" s="103">
        <f>IF($A5="","",SUMIFS('GECC 2026'!I$2:I$200,'GECC 2026'!F$2:F$200,$A5))</f>
        <v>4.04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24.04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41</v>
      </c>
      <c r="C11" s="103">
        <f>IF($A11="","",SUMIFS('GECC 2026'!I$2:I$200,'GECC 2026'!F$2:F$200,$A11))</f>
        <v>6.74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47.74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16</v>
      </c>
      <c r="C14" s="103">
        <f>IF($A14="","",SUMIFS('GECC 2026'!I$2:I$200,'GECC 2026'!F$2:F$200,$A14))</f>
        <v>2.84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18.84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19</v>
      </c>
      <c r="C19" s="103">
        <f>IF($A19="","",SUMIFS('GECC 2026'!I$2:I$200,'GECC 2026'!F$2:F$200,$A19))</f>
        <v>3.29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22.29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4</v>
      </c>
      <c r="C31" s="103">
        <f>IF($A31="","",SUMIFS('GECC 2026'!I$2:I$200,'GECC 2026'!F$2:F$200,$A31))</f>
        <v>0.19999999999999998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4.2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16</v>
      </c>
      <c r="C37" s="103">
        <f>IF($A37="","",SUMIFS('GECC 2026'!I$2:I$200,'GECC 2026'!F$2:F$200,$A37))</f>
        <v>2.84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18.84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2921</v>
      </c>
      <c r="B105" s="242">
        <f>SUM(B5:B100)</f>
        <v>600</v>
      </c>
      <c r="C105" s="242">
        <f>SUM(C5:C100)</f>
        <v>383.7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2976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2977</v>
      </c>
    </row>
    <row r="4" spans="1:8" ht="21.95" customHeight="1">
      <c r="A4" s="286" t="s">
        <v>2978</v>
      </c>
      <c r="B4" s="287"/>
      <c r="D4" s="286" t="s">
        <v>2979</v>
      </c>
      <c r="E4" s="287"/>
      <c r="G4" s="286" t="s">
        <v>2980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1762</v>
      </c>
      <c r="E5" s="289"/>
      <c r="G5" s="288">
        <f>IFERROR(ROUND(D5/A5,0),"-")</f>
        <v>136</v>
      </c>
      <c r="H5" s="289"/>
    </row>
    <row r="6" spans="1:8" ht="9.9499999999999993" customHeight="1"/>
    <row r="7" spans="1:8" ht="24.95" customHeight="1" thickBot="1">
      <c r="A7" s="143" t="s">
        <v>2981</v>
      </c>
      <c r="B7" s="143" t="s">
        <v>2982</v>
      </c>
      <c r="C7" s="143" t="s">
        <v>1</v>
      </c>
      <c r="D7" s="143" t="s">
        <v>2983</v>
      </c>
      <c r="E7" s="143" t="s">
        <v>2984</v>
      </c>
      <c r="F7" s="143" t="s">
        <v>2848</v>
      </c>
      <c r="G7" s="143" t="s">
        <v>5</v>
      </c>
      <c r="H7" s="143" t="s">
        <v>2985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2026-07-02T17:42:59Z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