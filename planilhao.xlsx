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885" documentId="13_ncr:1_{C887EC22-7CD1-4717-84BE-7303F42C5C0A}" xr6:coauthVersionLast="47" xr6:coauthVersionMax="47" xr10:uidLastSave="{1B68FE8E-29DA-429B-AF65-C9F46B050110}"/>
  <bookViews>
    <workbookView xWindow="28680" yWindow="-120" windowWidth="29040" windowHeight="1572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D35" i="23"/>
  <c r="E35" i="23"/>
  <c r="AE33" i="20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s="1"/>
  <c r="S4" i="20" l="1" a="1"/>
  <c r="S4" i="20" l="1"/>
  <c r="T4" i="20" l="1" a="1"/>
  <c r="T4" i="20" s="1"/>
  <c r="A2" i="20" l="1" a="1"/>
  <c r="A5" i="23" l="1" a="1"/>
  <c r="E105" i="23"/>
  <c r="A2" i="20"/>
  <c r="B31" i="23" l="1"/>
  <c r="D19" i="23"/>
  <c r="D25" i="23"/>
  <c r="E18" i="23"/>
  <c r="C24" i="23"/>
  <c r="B23" i="23"/>
  <c r="C31" i="23"/>
  <c r="B15" i="23"/>
  <c r="D32" i="23"/>
  <c r="B11" i="23"/>
  <c r="F13" i="23"/>
  <c r="E16" i="23"/>
  <c r="C7" i="23"/>
  <c r="E10" i="23"/>
  <c r="D24" i="23"/>
  <c r="F14" i="23"/>
  <c r="D10" i="23"/>
  <c r="D29" i="23"/>
  <c r="B13" i="23"/>
  <c r="D28" i="23"/>
  <c r="D17" i="23"/>
  <c r="F16" i="23"/>
  <c r="D22" i="23"/>
  <c r="E30" i="23"/>
  <c r="E11" i="23"/>
  <c r="F32" i="23"/>
  <c r="D11" i="23"/>
  <c r="C18" i="23"/>
  <c r="D31" i="23"/>
  <c r="D14" i="23"/>
  <c r="E7" i="23"/>
  <c r="E12" i="23"/>
  <c r="F23" i="23"/>
  <c r="F9" i="23"/>
  <c r="F31" i="23"/>
  <c r="F21" i="23"/>
  <c r="F29" i="23"/>
  <c r="C26" i="23"/>
  <c r="F33" i="23"/>
  <c r="E14" i="23"/>
  <c r="F17" i="23"/>
  <c r="F6" i="23"/>
  <c r="F24" i="23"/>
  <c r="C30" i="23"/>
  <c r="F30" i="23"/>
  <c r="C20" i="23"/>
  <c r="E27" i="23"/>
  <c r="C34" i="23"/>
  <c r="B33" i="23"/>
  <c r="D16" i="23"/>
  <c r="B29" i="23"/>
  <c r="C33" i="23"/>
  <c r="D8" i="23"/>
  <c r="D30" i="23"/>
  <c r="C27" i="23"/>
  <c r="D21" i="23"/>
  <c r="E8" i="23"/>
  <c r="C13" i="23"/>
  <c r="C19" i="23"/>
  <c r="B30" i="23"/>
  <c r="C11" i="23"/>
  <c r="B16" i="23"/>
  <c r="D18" i="23"/>
  <c r="B25" i="23"/>
  <c r="C15" i="23"/>
  <c r="C32" i="23"/>
  <c r="C23" i="23"/>
  <c r="E31" i="23"/>
  <c r="B12" i="23"/>
  <c r="B21" i="23"/>
  <c r="E15" i="23"/>
  <c r="C8" i="23"/>
  <c r="E32" i="23"/>
  <c r="D6" i="23"/>
  <c r="C12" i="23"/>
  <c r="B17" i="23"/>
  <c r="E25" i="23"/>
  <c r="E33" i="23"/>
  <c r="B22" i="23"/>
  <c r="E9" i="23"/>
  <c r="E21" i="23"/>
  <c r="B28" i="23"/>
  <c r="D20" i="23"/>
  <c r="D7" i="23"/>
  <c r="F26" i="23"/>
  <c r="B18" i="23"/>
  <c r="F11" i="23"/>
  <c r="B19" i="23"/>
  <c r="E29" i="23"/>
  <c r="E6" i="23"/>
  <c r="F12" i="23"/>
  <c r="B20" i="23"/>
  <c r="B34" i="23"/>
  <c r="F25" i="23"/>
  <c r="E26" i="23"/>
  <c r="B8" i="23"/>
  <c r="C6" i="23"/>
  <c r="F18" i="23"/>
  <c r="D33" i="23"/>
  <c r="D26" i="23"/>
  <c r="F15" i="23"/>
  <c r="B7" i="23"/>
  <c r="E22" i="23"/>
  <c r="F19" i="23"/>
  <c r="F27" i="23"/>
  <c r="C9" i="23"/>
  <c r="E19" i="23"/>
  <c r="B27" i="23"/>
  <c r="C28" i="23"/>
  <c r="E34" i="23"/>
  <c r="D27" i="23"/>
  <c r="B26" i="23"/>
  <c r="C14" i="23"/>
  <c r="C21" i="23"/>
  <c r="C29" i="23"/>
  <c r="F22" i="23"/>
  <c r="B6" i="23"/>
  <c r="D23" i="23"/>
  <c r="C25" i="23"/>
  <c r="E24" i="23"/>
  <c r="C16" i="23"/>
  <c r="E20" i="23"/>
  <c r="F10" i="23"/>
  <c r="E17" i="23"/>
  <c r="B10" i="23"/>
  <c r="E28" i="23"/>
  <c r="D12" i="23"/>
  <c r="C17" i="23"/>
  <c r="E23" i="23"/>
  <c r="D15" i="23"/>
  <c r="B24" i="23"/>
  <c r="F28" i="23"/>
  <c r="F34" i="23"/>
  <c r="C22" i="23"/>
  <c r="D34" i="23"/>
  <c r="E13" i="23"/>
  <c r="B14" i="23"/>
  <c r="F8" i="23"/>
  <c r="B32" i="23"/>
  <c r="D9" i="23"/>
  <c r="F7" i="23"/>
  <c r="D13" i="23"/>
  <c r="F20" i="23"/>
  <c r="C10" i="23"/>
  <c r="B9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<sst xmlns="http://schemas.openxmlformats.org/spreadsheetml/2006/main" count="6527" uniqueCount="2956">
  <si>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</si>
  <si>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</si>
  <si>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</si>
  <si>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</si>
  <si>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</si>
  <si>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</si>
  <si>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</si>
  <si>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</si>
  <si>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</si>
  <si>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</si>
  <si>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</si>
  <si>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</si>
  <si>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</si>
  <si>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</si>
  <si>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</si>
  <si>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</si>
  <si>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</si>
  <si>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</si>
  <si>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</si>
  <si>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</si>
  <si>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</si>
  <si>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</si>
  <si>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</si>
  <si>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</si>
  <si>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</si>
  <si>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</si>
  <si>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</si>
  <si>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</si>
  <si>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</si>
  <si>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</si>
  <si>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</si>
  <si>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</si>
  <si>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</si>
  <si>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</si>
  <si>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</si>
  <si>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</si>
  <si>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</si>
  <si>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</si>
  <si>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</si>
  <si>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</si>
  <si>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</si>
  <si>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</si>
  <si>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</si>
  <si>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</si>
  <si>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</si>
  <si>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</si>
  <si>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</si>
  <si>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</si>
  <si>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</si>
  <si>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</si>
  <si>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</si>
  <si>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</si>
  <si>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</si>
  <si>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</si>
  <si>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</si>
  <si>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</si>
  <si>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</si>
  <si>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</si>
  <si>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</si>
  <si>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</si>
  <si>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</si>
  <si>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</si>
  <si>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</si>
  <si>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</si>
  <si>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</si>
  <si>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</si>
  <si>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</si>
  <si>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</si>
  <si>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</si>
  <si>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</si>
  <si>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</si>
  <si>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</si>
  <si>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</si>
  <si>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</si>
  <si>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</si>
  <si>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</si>
  <si>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</si>
  <si>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</si>
  <si>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</si>
  <si>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</si>
  <si>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</si>
  <si>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</si>
  <si>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</si>
  <si>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</si>
  <si>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</si>
  <si>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</si>
  <si>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</si>
  <si>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</si>
  <si>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</si>
  <si>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</si>
  <si>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</si>
  <si>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</si>
  <si>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</si>
  <si>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</si>
  <si>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</si>
  <si>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</si>
  <si>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</si>
  <si>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</si>
  <si>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</si>
  <si>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</si>
  <si>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</si>
  <si>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</si>
  <si>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</si>
  <si>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</si>
  <si>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</si>
  <si>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</si>
  <si>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</si>
  <si>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</si>
  <si>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</si>
  <si>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</si>
  <si>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</si>
  <si>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</si>
  <si>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</si>
  <si>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</si>
  <si>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</si>
  <si>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</si>
  <si>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</si>
  <si>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</si>
  <si>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</si>
  <si>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</si>
  <si>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</si>
  <si>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</si>
  <si>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</si>
  <si>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</si>
  <si>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</si>
  <si>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</si>
  <si>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</si>
  <si>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</si>
  <si>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</si>
  <si>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</si>
  <si>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</si>
  <si>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</si>
  <si>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</si>
  <si>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</si>
  <si>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</si>
  <si>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</si>
  <si>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</si>
  <si>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</si>
  <si>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</si>
  <si>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</si>
  <si>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</si>
  <si>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</si>
  <si>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</si>
  <si>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</si>
  <si>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</si>
  <si>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</si>
  <si>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</si>
  <si>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</si>
  <si>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</si>
  <si>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</si>
  <si>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</si>
  <si>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</si>
  <si>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</si>
  <si>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</si>
  <si>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</si>
  <si>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</si>
  <si>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</si>
  <si>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</si>
  <si>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</si>
  <si>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</si>
  <si>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</si>
  <si>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</si>
  <si>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</si>
  <si>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</si>
  <si>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</si>
  <si>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</si>
  <si>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</si>
  <si>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</si>
  <si>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</si>
  <si>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</si>
  <si>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</si>
  <si>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</si>
  <si>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</si>
  <si>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</si>
  <si>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</si>
  <si>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</si>
  <si>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</si>
  <si>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</si>
  <si>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</si>
  <si>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</si>
  <si>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</si>
  <si>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</si>
  <si>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</si>
  <si>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</si>
  <si>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</si>
  <si>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</si>
  <si>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</si>
  <si>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</si>
  <si>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</si>
  <si>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</si>
  <si>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</si>
  <si>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</si>
  <si>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</si>
  <si>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</si>
  <si>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</si>
  <si>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</si>
  <si>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</si>
  <si>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</si>
  <si>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</si>
  <si>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</si>
  <si>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</si>
  <si>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</si>
  <si>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</si>
  <si>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</si>
  <si>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</si>
  <si>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</si>
  <si>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</si>
  <si>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</si>
  <si>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</si>
  <si>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</si>
  <si>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</si>
  <si>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</si>
  <si>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</si>
  <si>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</si>
  <si>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</si>
  <si>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</si>
  <si>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</si>
  <si>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</si>
  <si>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</si>
  <si>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</si>
  <si>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</si>
  <si>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</si>
  <si>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</si>
  <si>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</si>
  <si>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</si>
  <si>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</si>
  <si>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</si>
  <si>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</si>
  <si>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</si>
  <si>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</si>
  <si>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</si>
  <si>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</si>
  <si>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</si>
  <si>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</si>
  <si>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</si>
  <si>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</si>
  <si>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</si>
  <si>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</si>
  <si>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</si>
  <si>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</si>
  <si>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</si>
  <si>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</si>
  <si>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</si>
  <si>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</si>
  <si>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</si>
  <si>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</si>
  <si>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</si>
  <si>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</si>
  <si>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</si>
  <si>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</si>
  <si>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</si>
  <si>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</si>
  <si>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</si>
  <si>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</si>
  <si>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</si>
  <si>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</si>
  <si>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</si>
  <si>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</si>
  <si>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</si>
  <si>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</si>
  <si>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</si>
  <si>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</si>
  <si>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</si>
  <si>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</si>
  <si>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</si>
  <si>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</si>
  <si>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</si>
  <si>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</si>
  <si>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</si>
  <si>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</si>
  <si>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</si>
  <si>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</si>
  <si>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</si>
  <si>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</si>
  <si>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</si>
  <si>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</si>
  <si>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</si>
  <si>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</si>
  <si>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</si>
  <si>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</si>
  <si>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</si>
  <si>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</si>
  <si>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</si>
  <si>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</si>
  <si>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</si>
  <si>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</si>
  <si>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</si>
  <si>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</si>
  <si>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</si>
  <si>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</si>
  <si>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</si>
  <si>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</si>
  <si>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</si>
  <si>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</si>
  <si>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</si>
  <si>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</si>
  <si>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</si>
  <si>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</si>
  <si>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</si>
  <si>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</si>
  <si>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</si>
  <si>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</si>
  <si>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</si>
  <si>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</si>
  <si>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</si>
  <si>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</si>
  <si>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</si>
  <si>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</si>
  <si>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</si>
  <si>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</si>
  <si>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</si>
  <si>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</si>
  <si>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</si>
  <si>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</si>
  <si>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</si>
  <si>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</si>
  <si>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</si>
  <si>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</si>
  <si>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</si>
  <si>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</si>
  <si>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</si>
  <si>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</si>
  <si>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</si>
  <si>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</si>
  <si>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</si>
  <si>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</si>
  <si>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</si>
  <si>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</si>
  <si>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</si>
  <si>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</si>
  <si>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</si>
  <si>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</si>
  <si>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</si>
  <si>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</si>
  <si>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</si>
  <si>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</si>
  <si>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</si>
  <si>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</si>
  <si>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</si>
  <si>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</si>
  <si>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</si>
  <si>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</si>
  <si>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</si>
  <si>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</si>
  <si>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</si>
  <si>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</si>
  <si>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</si>
  <si>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</si>
  <si>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</si>
  <si>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</si>
  <si>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</si>
  <si>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</si>
  <si>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</si>
  <si>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</si>
  <si>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</si>
  <si>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</si>
  <si>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</si>
  <si>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</si>
  <si>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</si>
  <si>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</si>
  <si>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</si>
  <si>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</si>
  <si>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</si>
  <si>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</si>
  <si>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</si>
  <si>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</si>
  <si>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</si>
  <si>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</si>
  <si>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</si>
  <si>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</si>
  <si>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</si>
  <si>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</si>
  <si>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</si>
  <si>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</si>
  <si>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</si>
  <si>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</si>
  <si>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</si>
  <si>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</si>
  <si>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</si>
  <si>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</si>
  <si>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</si>
  <si>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</si>
  <si>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</si>
  <si>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</si>
  <si>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</si>
  <si>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</si>
  <si>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</si>
  <si>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</si>
  <si>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</si>
  <si>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</si>
  <si>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</si>
  <si>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</si>
  <si>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</si>
  <si>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</si>
  <si>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</si>
  <si>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</si>
  <si>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</si>
  <si>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</si>
  <si>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</si>
  <si>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</si>
  <si>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</si>
  <si>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</si>
  <si>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</si>
  <si>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</si>
  <si>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</si>
  <si>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</si>
  <si>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</si>
  <si>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</si>
  <si>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</si>
  <si>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</si>
  <si>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</si>
  <si>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</si>
  <si>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</si>
  <si>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</si>
  <si>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</si>
  <si>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</si>
  <si>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</si>
  <si>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</si>
  <si>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</si>
  <si>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</si>
  <si>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</si>
  <si>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</si>
  <si>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</si>
  <si>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</si>
  <si>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</si>
  <si>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</si>
  <si>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</si>
  <si>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</si>
  <si>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</si>
  <si>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</si>
  <si>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</si>
  <si>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</si>
  <si>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</si>
  <si>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</si>
  <si>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</si>
  <si>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</si>
  <si>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</si>
  <si>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</si>
  <si>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</si>
  <si>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</si>
  <si>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</si>
  <si>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</si>
  <si>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</si>
  <si>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</si>
  <si>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</si>
  <si>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</si>
  <si>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</si>
  <si>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</si>
  <si>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</si>
  <si>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</si>
  <si>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</si>
  <si>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</si>
  <si>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</si>
  <si>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</si>
  <si>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</si>
  <si>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</si>
  <si>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</si>
  <si>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</si>
  <si>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</si>
  <si>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</si>
  <si>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</si>
  <si>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</si>
  <si>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</si>
  <si>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</si>
  <si>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</si>
  <si>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</si>
  <si>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</si>
  <si>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</si>
  <si>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</si>
  <si>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</si>
  <si>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</si>
  <si>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</si>
  <si>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</si>
  <si>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</si>
  <si>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</si>
  <si>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</si>
  <si>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</si>
  <si>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</si>
  <si>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</si>
  <si>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</si>
  <si>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</si>
  <si>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</si>
  <si>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</si>
  <si>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</si>
  <si>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</si>
  <si>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</si>
  <si>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</si>
  <si>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</si>
  <si>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</si>
  <si>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</si>
  <si>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</si>
  <si>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</si>
  <si>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</si>
  <si>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</si>
  <si>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</si>
  <si>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</si>
  <si>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</si>
  <si>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</si>
  <si>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</si>
  <si>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</si>
  <si>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</si>
  <si>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</si>
  <si>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</si>
  <si>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</si>
  <si>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</si>
  <si>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</si>
  <si>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</si>
  <si>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</si>
  <si>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</si>
  <si>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</si>
  <si>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</si>
  <si>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</si>
  <si>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</si>
  <si>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</si>
  <si>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</si>
  <si>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</si>
  <si>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</si>
  <si>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</si>
  <si>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</si>
  <si>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</si>
  <si>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</si>
  <si>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</si>
  <si>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</si>
  <si>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</si>
  <si>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</si>
  <si>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</si>
  <si>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</si>
  <si>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</si>
  <si>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</si>
  <si>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</si>
  <si>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</si>
  <si>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</si>
  <si>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</si>
  <si>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</si>
  <si>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</si>
  <si>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</si>
  <si>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</si>
  <si>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</si>
  <si>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</si>
  <si>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</si>
  <si>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</si>
  <si>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</si>
  <si>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</si>
  <si>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</si>
  <si>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</si>
  <si>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</si>
  <si>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</si>
  <si>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</si>
  <si>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</si>
  <si>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</si>
  <si>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</si>
  <si>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</si>
  <si>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</si>
  <si>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</si>
  <si>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</si>
  <si>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</si>
  <si>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</si>
  <si>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</si>
  <si>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</si>
  <si>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</si>
  <si>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</si>
  <si>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</si>
  <si>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</si>
  <si>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</si>
  <si>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</si>
  <si>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</si>
  <si>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</si>
  <si>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</si>
  <si>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</si>
  <si>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</si>
  <si>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</si>
  <si>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</si>
  <si>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</si>
  <si>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</si>
  <si>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</si>
  <si>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</si>
  <si>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</si>
  <si>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</si>
  <si>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</si>
  <si>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</si>
  <si>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</si>
  <si>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</si>
  <si>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</si>
  <si>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</si>
  <si>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</si>
  <si>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</si>
  <si>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</si>
  <si>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</si>
  <si>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</si>
  <si>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</si>
  <si>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</si>
  <si>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</si>
  <si>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</si>
  <si>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</si>
  <si>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</si>
  <si>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</si>
  <si>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</si>
  <si>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</si>
  <si>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</si>
  <si>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</si>
  <si>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</si>
  <si>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</si>
  <si>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</si>
  <si>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</si>
  <si>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</si>
  <si>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</si>
  <si>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</si>
  <si>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</si>
  <si>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</si>
  <si>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</si>
  <si>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</si>
  <si>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</si>
  <si>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</si>
  <si>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</si>
  <si>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</si>
  <si>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</si>
  <si>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</si>
  <si>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</si>
  <si>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</si>
  <si>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</si>
  <si>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</si>
  <si>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</si>
  <si>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</si>
  <si>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</si>
  <si>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</si>
  <si>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</si>
  <si>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</si>
  <si>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</si>
  <si>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</si>
  <si>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</si>
  <si>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</si>
  <si>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</si>
  <si>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</si>
  <si>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</si>
  <si>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</si>
  <si>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</si>
  <si>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</si>
  <si>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</si>
  <si>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</si>
  <si>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</si>
  <si>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</si>
  <si>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</si>
  <si>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</si>
  <si>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</si>
  <si>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</si>
  <si>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</si>
  <si>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</si>
  <si>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</si>
  <si>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</si>
  <si>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</si>
  <si>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</si>
  <si>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</si>
  <si>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</si>
  <si>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</si>
  <si>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</si>
  <si>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</si>
  <si>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</si>
  <si>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</si>
  <si>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</si>
  <si>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</si>
  <si>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</si>
  <si>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</si>
  <si>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</si>
  <si>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</si>
  <si>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</si>
  <si>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</si>
  <si>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</si>
  <si>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</si>
  <si>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</si>
  <si>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</si>
  <si>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</si>
  <si>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</si>
  <si>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</si>
  <si>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</si>
  <si>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</si>
  <si>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</si>
  <si>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</si>
  <si>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</si>
  <si>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</si>
  <si>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</si>
  <si>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</si>
  <si>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</si>
  <si>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</si>
  <si>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</si>
  <si>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</si>
  <si>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</si>
  <si>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</si>
  <si>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</si>
  <si>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</si>
  <si>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</si>
  <si>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</si>
  <si>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</si>
  <si>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</si>
  <si>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</si>
  <si>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</si>
  <si>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</si>
  <si>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</si>
  <si>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</si>
  <si>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</si>
  <si>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</si>
  <si>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</si>
  <si>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</si>
  <si>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</si>
  <si>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</si>
  <si>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</si>
  <si>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</si>
  <si>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</si>
  <si>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</si>
  <si>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</si>
  <si>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</si>
  <si>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</si>
  <si>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</si>
  <si>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</si>
  <si>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</si>
  <si>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</si>
  <si>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</si>
  <si>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</si>
  <si>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</si>
  <si>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</si>
  <si>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</si>
  <si>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</si>
  <si>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</si>
  <si>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</si>
  <si>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</si>
  <si>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</si>
  <si>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</si>
  <si>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</si>
  <si>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</si>
  <si>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</si>
  <si>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</si>
  <si>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</si>
  <si>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</si>
  <si>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</si>
  <si>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</si>
  <si>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</si>
  <si>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</si>
  <si>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</si>
  <si>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</si>
  <si>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</si>
  <si>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</si>
  <si>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</si>
  <si>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</si>
  <si>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</si>
  <si>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</si>
  <si>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</si>
  <si>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</si>
  <si>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</si>
  <si>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</si>
  <si>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</si>
  <si>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</si>
  <si>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</si>
  <si>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</si>
  <si>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</si>
  <si>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</si>
  <si>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</si>
  <si>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</si>
  <si>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</si>
  <si>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</si>
  <si>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</si>
  <si>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</si>
  <si>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</si>
  <si>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</si>
  <si>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</si>
  <si>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</si>
  <si>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</si>
  <si>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</si>
  <si>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</si>
  <si>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</si>
  <si>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</si>
  <si>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</si>
  <si>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</si>
  <si>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</si>
  <si>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</si>
  <si>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</si>
  <si>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</si>
  <si>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</si>
  <si>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</si>
  <si>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</si>
  <si>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</si>
  <si>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</si>
  <si>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</si>
  <si>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</si>
  <si>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</si>
  <si>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</si>
  <si>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</si>
  <si>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</si>
  <si>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</si>
  <si>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</si>
  <si>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</si>
  <si>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</si>
  <si>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</si>
  <si>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</si>
  <si>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</si>
  <si>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</si>
  <si>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</si>
  <si>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</si>
  <si>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</si>
  <si>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</si>
  <si>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</si>
  <si>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</si>
  <si>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</si>
  <si>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</si>
  <si>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</si>
  <si>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</si>
  <si>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</si>
  <si>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</si>
  <si>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</si>
  <si>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</si>
  <si>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</si>
  <si>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</si>
  <si>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</si>
  <si>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</si>
  <si>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</si>
  <si>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</si>
  <si>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</si>
  <si>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</si>
  <si>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</si>
  <si>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</si>
  <si>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</si>
  <si>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</si>
  <si>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</si>
  <si>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</si>
  <si>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</si>
  <si>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</si>
  <si>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</si>
  <si>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</si>
  <si>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</si>
  <si>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</si>
  <si>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</si>
  <si>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</si>
  <si>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</si>
  <si>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</si>
  <si>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</si>
  <si>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</si>
  <si>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</si>
  <si>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</si>
  <si>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</si>
  <si>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</si>
  <si>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</si>
  <si>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</si>
  <si>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</si>
  <si>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</si>
  <si>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</si>
  <si>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</si>
  <si>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</si>
  <si>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</si>
  <si>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</si>
  <si>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</si>
  <si>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</si>
  <si>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</si>
  <si>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</si>
  <si>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</si>
  <si>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</si>
  <si>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</si>
  <si>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</si>
  <si>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</si>
  <si>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</si>
  <si>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</si>
  <si>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</si>
  <si>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</si>
  <si>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</si>
  <si>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</si>
  <si>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</si>
  <si>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</si>
  <si>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</si>
  <si>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</si>
  <si>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</si>
  <si>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</si>
  <si>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</si>
  <si>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</si>
  <si>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</si>
  <si>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</si>
  <si>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</si>
  <si>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</si>
  <si>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</si>
  <si>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</si>
  <si>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</si>
  <si>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</si>
  <si>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</si>
  <si>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</si>
  <si>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</si>
  <si>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</si>
  <si>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</si>
  <si>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</si>
  <si>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</si>
  <si>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</si>
  <si>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</si>
  <si>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</si>
  <si>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</si>
  <si>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</si>
  <si>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</si>
  <si>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</si>
  <si>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</si>
  <si>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</si>
  <si>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</si>
  <si>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</si>
  <si>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</si>
  <si>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</si>
  <si>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</si>
  <si>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</si>
  <si>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</si>
  <si>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</si>
  <si>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</si>
  <si>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</si>
  <si>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</si>
  <si>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</si>
  <si>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</si>
  <si>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</si>
  <si>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</si>
  <si>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</si>
  <si>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</si>
  <si>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</si>
  <si>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</si>
  <si>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</si>
  <si>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</si>
  <si>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</si>
  <si>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</si>
  <si>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</si>
  <si>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</si>
  <si>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</si>
  <si>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</si>
  <si>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</si>
  <si>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</si>
  <si>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</si>
  <si>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</si>
  <si>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</si>
  <si>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</si>
  <si>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</si>
  <si>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</si>
  <si>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</si>
  <si>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</si>
  <si>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</si>
  <si>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</si>
  <si>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</si>
  <si>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</si>
  <si>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</si>
  <si>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</si>
  <si>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</si>
  <si>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</si>
  <si>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</si>
  <si>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</si>
  <si>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</si>
  <si>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</si>
  <si>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</si>
  <si>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</si>
  <si>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</si>
  <si>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</si>
  <si>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</si>
  <si>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</si>
  <si>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</si>
  <si>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</si>
  <si>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</si>
  <si>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</si>
  <si>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</si>
  <si>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</si>
  <si>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</si>
  <si>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</si>
  <si>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</si>
  <si>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</si>
  <si>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</si>
  <si>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</si>
  <si>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</si>
  <si>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</si>
  <si>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</si>
  <si>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</si>
  <si>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</si>
  <si>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</si>
  <si>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</si>
  <si>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</si>
  <si>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</si>
  <si>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</si>
  <si>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</si>
  <si>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</si>
  <si>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</si>
  <si>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</si>
  <si>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</si>
  <si>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</si>
  <si>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</si>
  <si>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</si>
  <si>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</si>
  <si>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</si>
  <si>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</si>
  <si>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</si>
  <si>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</si>
  <si>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</si>
  <si>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</si>
  <si>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</si>
  <si>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</si>
  <si>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</si>
  <si>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</si>
  <si>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</si>
  <si>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</si>
  <si>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</si>
  <si>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</si>
  <si>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</si>
  <si>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</si>
  <si>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</si>
  <si>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</si>
  <si>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</si>
  <si>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</si>
  <si>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</si>
  <si>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</si>
  <si>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</si>
  <si>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</si>
  <si>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</si>
  <si>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</si>
  <si>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</si>
  <si>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</si>
  <si>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</si>
  <si>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</si>
  <si>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</si>
  <si>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</si>
  <si>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</si>
  <si>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</si>
  <si>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</si>
  <si>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</si>
  <si>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</si>
  <si>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</si>
  <si>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</si>
  <si>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</si>
  <si>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</si>
  <si>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</si>
  <si>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</si>
  <si>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</si>
  <si>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</si>
  <si>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</si>
  <si>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</si>
  <si>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</si>
  <si>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</si>
  <si>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</si>
  <si>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</si>
  <si>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</si>
  <si>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</si>
  <si>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</si>
  <si>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</si>
  <si>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</si>
  <si>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</si>
  <si>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</si>
  <si>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</si>
  <si>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</si>
  <si>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</si>
  <si>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</si>
  <si>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</si>
  <si>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</si>
  <si>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</si>
  <si>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</si>
  <si>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</si>
  <si>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</si>
  <si>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</si>
  <si>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</si>
  <si>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</si>
  <si>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</si>
  <si>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</si>
  <si>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</si>
  <si>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</si>
  <si>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</si>
  <si>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</si>
  <si>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</si>
  <si>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</si>
  <si>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</si>
  <si>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</si>
  <si>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</si>
  <si>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</si>
  <si>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</si>
  <si>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</si>
  <si>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</si>
  <si>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</si>
  <si>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</si>
  <si>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</si>
  <si>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</si>
  <si>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</si>
  <si>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</si>
  <si>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</si>
  <si>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</si>
  <si>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</si>
  <si>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</si>
  <si>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</si>
  <si>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</si>
  <si>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</si>
  <si>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</si>
  <si>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</si>
  <si>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</si>
  <si>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</si>
  <si>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</si>
  <si>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</si>
  <si>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</si>
  <si>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</si>
  <si>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</si>
  <si>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</si>
  <si>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</si>
  <si>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</si>
  <si>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</si>
  <si>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</si>
  <si>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</si>
  <si>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</si>
  <si>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</si>
  <si>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</si>
  <si>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</si>
  <si>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</si>
  <si>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</si>
  <si>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</si>
  <si>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</si>
  <si>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</si>
  <si>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</si>
  <si>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</si>
  <si>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</si>
  <si>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</si>
  <si>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</si>
  <si>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</si>
  <si>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</si>
  <si>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</si>
  <si>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</si>
  <si>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</si>
  <si>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</si>
  <si>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</si>
  <si>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</si>
  <si>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</si>
  <si>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</si>
  <si>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</si>
  <si>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</si>
  <si>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</si>
  <si>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</si>
  <si>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</si>
  <si>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</si>
  <si>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</si>
  <si>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</si>
  <si>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</si>
  <si>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</si>
  <si>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</si>
  <si>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</si>
  <si>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</si>
  <si>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</si>
  <si>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</si>
  <si>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</si>
  <si>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</si>
  <si>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</si>
  <si>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</si>
  <si>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</si>
  <si>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</si>
  <si>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</si>
  <si>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</si>
  <si>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</si>
  <si>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</si>
  <si>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</si>
  <si>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</si>
  <si>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</si>
  <si>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</si>
  <si>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</si>
  <si>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</si>
  <si>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</si>
  <si>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</si>
  <si>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</si>
  <si>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</si>
  <si>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</si>
  <si>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</si>
  <si>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</si>
  <si>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</si>
  <si>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</si>
  <si>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</si>
  <si>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</si>
  <si>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</si>
  <si>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</si>
  <si>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</si>
  <si>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</si>
  <si>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</si>
  <si>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</si>
  <si>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</si>
  <si>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</si>
  <si>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</si>
  <si>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</si>
  <si>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</si>
  <si>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</si>
  <si>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</si>
  <si>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</si>
  <si>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</si>
  <si>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</si>
  <si>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</si>
  <si>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</si>
  <si>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</si>
  <si>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</si>
  <si>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</si>
  <si>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</si>
  <si>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</si>
  <si>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</si>
  <si>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</si>
  <si>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</si>
  <si>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</si>
  <si>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</si>
  <si>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</si>
  <si>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</si>
  <si>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</si>
  <si>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</si>
  <si>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</si>
  <si>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</si>
  <si>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</si>
  <si>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</si>
  <si>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</si>
  <si>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</si>
  <si>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</si>
  <si>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</si>
  <si>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</si>
  <si>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</si>
  <si>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</si>
  <si>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</si>
  <si>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</si>
  <si>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</si>
  <si>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</si>
  <si>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</si>
  <si>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</si>
  <si>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</si>
  <si>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</si>
  <si>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</si>
  <si>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</si>
  <si>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</si>
  <si>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</si>
  <si>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</si>
  <si>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</si>
  <si>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</si>
  <si>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</si>
  <si>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</si>
  <si>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</si>
  <si>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</si>
  <si>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</si>
  <si>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</si>
  <si>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</si>
  <si>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</si>
  <si>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</si>
  <si>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</si>
  <si>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</si>
  <si>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</si>
  <si>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</si>
  <si>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</si>
  <si>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</si>
  <si>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</si>
  <si>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</si>
  <si>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</si>
  <si>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</si>
  <si>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</si>
  <si>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</si>
  <si>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</si>
  <si>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</si>
  <si>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</si>
  <si>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</si>
  <si>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</si>
  <si>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</si>
  <si>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</si>
  <si>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</si>
  <si>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</si>
  <si>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</si>
  <si>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</si>
  <si>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</si>
  <si>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</si>
  <si>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</si>
  <si>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</si>
  <si>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</si>
  <si>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</si>
  <si>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</si>
  <si>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</si>
  <si>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</si>
  <si>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</si>
  <si>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</si>
  <si>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</si>
  <si>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</si>
  <si>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</si>
  <si>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</si>
  <si>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</si>
  <si>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</si>
  <si>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</si>
  <si>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</si>
  <si>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</si>
  <si>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</si>
  <si>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</si>
  <si>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</si>
  <si>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</si>
  <si>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</si>
  <si>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</si>
  <si>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</si>
  <si>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</si>
  <si>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</si>
  <si>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</si>
  <si>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</si>
  <si>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</si>
  <si>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</si>
  <si>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</si>
  <si>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</si>
  <si>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</si>
  <si>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</si>
  <si>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</si>
  <si>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</si>
  <si>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</si>
  <si>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</si>
  <si>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</si>
  <si>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</si>
  <si>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</si>
  <si>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</si>
  <si>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</si>
  <si>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</si>
  <si>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</si>
  <si>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</si>
  <si>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</si>
  <si>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</si>
  <si>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</si>
  <si>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</si>
  <si>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</si>
  <si>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</si>
  <si>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</si>
  <si>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</si>
  <si>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</si>
  <si>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</si>
  <si>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</si>
  <si>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</si>
  <si>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</si>
  <si>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</si>
  <si>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</si>
  <si>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</si>
  <si>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</si>
  <si>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</si>
  <si>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</si>
  <si>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</si>
  <si>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</si>
  <si>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</si>
  <si>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</si>
  <si>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</si>
  <si>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</si>
  <si>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</si>
  <si>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</si>
  <si>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</si>
  <si>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</si>
  <si>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</si>
  <si>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</si>
  <si>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</si>
  <si>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</si>
  <si>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</si>
  <si>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</si>
  <si>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</si>
  <si>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</si>
  <si>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</si>
  <si>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</si>
  <si>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</si>
  <si>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</si>
  <si>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</si>
  <si>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</si>
  <si>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</si>
  <si>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</si>
  <si>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</si>
  <si>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</si>
  <si>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</si>
  <si>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</si>
  <si>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</si>
  <si>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</si>
  <si>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</si>
  <si>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</si>
  <si>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</si>
  <si>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</si>
  <si>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</si>
  <si>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</si>
  <si>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</si>
  <si>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</si>
  <si>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</si>
  <si>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</si>
  <si>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</si>
  <si>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</si>
  <si>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</si>
  <si>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</si>
  <si>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</si>
  <si>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</si>
  <si>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</si>
  <si>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</si>
  <si>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</si>
  <si>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</si>
  <si>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</si>
  <si>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</si>
  <si>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</si>
  <si>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</si>
  <si>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</si>
  <si>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</si>
  <si>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</si>
  <si>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</si>
  <si>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</si>
  <si>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</si>
  <si>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</si>
  <si>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</si>
  <si>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</si>
  <si>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</si>
  <si>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</si>
  <si>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</si>
  <si>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</si>
  <si>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</si>
  <si>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</si>
  <si>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</si>
  <si>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</si>
  <si>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</si>
  <si>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</si>
  <si>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</si>
  <si>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</si>
  <si>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</si>
  <si>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</si>
  <si>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</si>
  <si>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</si>
  <si>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</si>
  <si>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</si>
  <si>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</si>
  <si>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</si>
  <si>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</si>
  <si>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</si>
  <si>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</si>
  <si>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</si>
  <si>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</si>
  <si>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</si>
  <si>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</si>
  <si>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</si>
  <si>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</si>
  <si>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</si>
  <si>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</si>
  <si>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</si>
  <si>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</si>
  <si>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</si>
  <si>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</si>
  <si>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</si>
  <si>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</si>
  <si>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</si>
  <si>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</si>
  <si>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</si>
  <si>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</si>
  <si>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</si>
  <si>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</si>
  <si>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</si>
  <si>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</si>
  <si>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</si>
  <si>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</si>
  <si>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</si>
  <si>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</si>
  <si>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</si>
  <si>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</si>
  <si>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</si>
  <si>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</si>
  <si>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</si>
  <si>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</si>
  <si>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</si>
  <si>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</si>
  <si>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</si>
  <si>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</si>
  <si>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</si>
  <si>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</si>
  <si>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</si>
  <si>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</si>
  <si>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</si>
  <si>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</si>
  <si>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</si>
  <si>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</si>
  <si>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</si>
  <si>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</si>
  <si>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</si>
  <si>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</si>
  <si>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</si>
  <si>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</si>
  <si>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</si>
  <si>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</si>
  <si>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</si>
  <si>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</si>
  <si>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</si>
  <si>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</si>
  <si>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</si>
  <si>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</si>
  <si>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</si>
  <si>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</si>
  <si>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</si>
  <si>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</si>
  <si>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</si>
  <si>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</si>
  <si>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</si>
  <si>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</si>
  <si>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</si>
  <si>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</si>
  <si>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</si>
  <si>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</si>
  <si>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</si>
  <si>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</si>
  <si>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</si>
  <si>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</si>
  <si>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</si>
  <si>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</si>
  <si>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</si>
  <si>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</si>
  <si>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</si>
  <si>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</si>
  <si>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</si>
  <si>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</si>
  <si>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</si>
  <si>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</si>
  <si>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</si>
  <si>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</si>
  <si>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</si>
  <si>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</si>
  <si>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</si>
  <si>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</si>
  <si>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</si>
  <si>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</si>
  <si>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</si>
  <si>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</si>
  <si>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</si>
  <si>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</si>
  <si>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</si>
  <si>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</si>
  <si>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</si>
  <si>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</si>
  <si>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</si>
  <si>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</si>
  <si>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</si>
  <si>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</si>
  <si>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</si>
  <si>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</si>
  <si>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</si>
  <si>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</si>
  <si>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</si>
  <si>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</si>
  <si>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</si>
  <si>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</si>
  <si>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</si>
  <si>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</si>
  <si>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</si>
  <si>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</si>
  <si>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</si>
  <si>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</si>
  <si>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</si>
  <si>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</si>
  <si>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</si>
  <si>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</si>
  <si>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</si>
  <si>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</si>
  <si>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</si>
  <si>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</si>
  <si>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</si>
  <si>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</si>
  <si>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</si>
  <si>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</si>
  <si>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</si>
  <si>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</si>
  <si>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</si>
  <si>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</si>
  <si>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</si>
  <si>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</si>
  <si>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</si>
  <si>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</si>
  <si>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</si>
  <si>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</si>
  <si>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</si>
  <si>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</si>
  <si>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</si>
  <si>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</si>
  <si>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</si>
  <si>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</si>
  <si>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</si>
  <si>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</si>
  <si>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</si>
  <si>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</si>
  <si>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</si>
  <si>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</si>
  <si>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</si>
  <si>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</si>
  <si>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</si>
  <si>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</si>
  <si>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</si>
  <si>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</si>
  <si>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</si>
  <si>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</si>
  <si>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</si>
  <si>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</si>
  <si>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</si>
  <si>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</si>
  <si>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</si>
  <si>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</si>
  <si>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</si>
  <si>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</si>
  <si>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</si>
  <si>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</si>
  <si>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</si>
  <si>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</si>
  <si>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</si>
  <si>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</si>
  <si>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</si>
  <si>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</si>
  <si>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</si>
  <si>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</si>
  <si>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</si>
  <si>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</si>
  <si>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</si>
  <si>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</si>
  <si>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</si>
  <si>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</si>
  <si>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</si>
  <si>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</si>
  <si>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</si>
  <si>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</si>
  <si>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</si>
  <si>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</si>
  <si>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</si>
  <si>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</si>
  <si>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</si>
  <si>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</si>
  <si>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</si>
  <si>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</si>
  <si>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</si>
  <si>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</si>
  <si>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</si>
  <si>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</si>
  <si>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</si>
  <si>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</si>
  <si>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</si>
  <si>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</si>
  <si>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</si>
  <si>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</si>
  <si>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</si>
  <si>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</si>
  <si>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</si>
  <si>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</si>
  <si>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</si>
  <si>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</si>
  <si>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</si>
  <si>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</si>
  <si>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</si>
  <si>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</si>
  <si>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</si>
  <si>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</si>
  <si>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</si>
  <si>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</si>
  <si>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</si>
  <si>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</si>
  <si>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</si>
  <si>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</si>
  <si>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</si>
  <si>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</si>
  <si>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</si>
  <si>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</si>
  <si>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</si>
  <si>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</si>
  <si>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</si>
  <si>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</si>
  <si>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</si>
  <si>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</si>
  <si>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</si>
  <si>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</si>
  <si>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</si>
  <si>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</si>
  <si>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</si>
  <si>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</si>
  <si>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</si>
  <si>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</si>
  <si>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</si>
  <si>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</si>
  <si>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</si>
  <si>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</si>
  <si>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</si>
  <si>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</si>
  <si>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</si>
  <si>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</si>
  <si>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</si>
  <si>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</si>
  <si>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</si>
  <si>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</si>
  <si>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</si>
  <si>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</si>
  <si>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</si>
  <si>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</si>
  <si>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</si>
  <si>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</si>
  <si>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</si>
  <si>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</si>
  <si>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</si>
  <si>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</si>
  <si>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</si>
  <si>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</si>
  <si>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</si>
  <si>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</si>
  <si>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</si>
  <si>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</si>
  <si>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</si>
  <si>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</si>
  <si>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</si>
  <si>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</si>
  <si>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</si>
  <si>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</si>
  <si>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</si>
  <si>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</si>
  <si>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</si>
  <si>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</si>
  <si>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</si>
  <si>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</si>
  <si>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</si>
  <si>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</si>
  <si>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</si>
  <si>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</si>
  <si>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</si>
  <si>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</si>
  <si>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</si>
  <si>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</si>
  <si>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</si>
  <si>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</si>
  <si>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</si>
  <si>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</si>
  <si>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</si>
  <si>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</si>
  <si>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</si>
  <si>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</si>
  <si>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</si>
  <si>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</si>
  <si>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</si>
  <si>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</si>
  <si>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</si>
  <si>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</si>
  <si>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</si>
  <si>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</si>
  <si>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</si>
  <si>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</si>
  <si>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</si>
  <si>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</si>
  <si>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</si>
  <si>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</si>
  <si>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</si>
  <si>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</si>
  <si>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</si>
  <si>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</si>
  <si>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</si>
  <si>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</si>
  <si>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</si>
  <si>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</si>
  <si>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</si>
  <si>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</si>
  <si>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</si>
  <si>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</si>
  <si>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</si>
  <si>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</si>
  <si>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</si>
  <si>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</si>
  <si>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</si>
  <si>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</si>
  <si>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</si>
  <si>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</si>
  <si>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</si>
  <si>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</si>
  <si>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</si>
  <si>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</si>
  <si>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</si>
  <si>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</si>
  <si>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</si>
  <si>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</si>
  <si>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</si>
  <si>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</si>
  <si>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</si>
  <si>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</si>
  <si>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</si>
  <si>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</si>
  <si>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</si>
  <si>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</si>
  <si>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</si>
  <si>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</si>
  <si>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</si>
  <si>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</si>
  <si>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</si>
  <si>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</si>
  <si>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</si>
  <si>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</si>
  <si>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</si>
  <si>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</si>
  <si>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</si>
  <si>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</si>
  <si>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</si>
  <si>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</si>
  <si>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</si>
  <si>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</si>
  <si>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</si>
  <si>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</si>
  <si>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</si>
  <si>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</si>
  <si>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</si>
  <si>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</si>
  <si>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</si>
  <si>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</si>
  <si>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</si>
  <si>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</si>
  <si>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</si>
  <si>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</si>
  <si>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</si>
  <si>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</si>
  <si>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</si>
  <si>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</si>
  <si>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</si>
  <si>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</si>
  <si>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</si>
  <si>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</si>
  <si>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</si>
  <si>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</si>
  <si>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</si>
  <si>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</si>
  <si>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</si>
  <si>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</si>
  <si>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</si>
  <si>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</si>
  <si>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</si>
  <si>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</si>
  <si>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</si>
  <si>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</si>
  <si>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</si>
  <si>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</si>
  <si>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</si>
  <si>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</si>
  <si>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</si>
  <si>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</si>
  <si>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</si>
  <si>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</si>
  <si>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</si>
  <si>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</si>
  <si>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</si>
  <si>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</si>
  <si>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</si>
  <si>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</si>
  <si>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</si>
  <si>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</si>
  <si>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</si>
  <si>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</si>
  <si>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</si>
  <si>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</si>
  <si>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</si>
  <si>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</si>
  <si>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</si>
  <si>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</si>
  <si>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</si>
  <si>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</si>
  <si>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</si>
  <si>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</si>
  <si>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</si>
  <si>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</si>
  <si>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</si>
  <si>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</si>
  <si>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</si>
  <si>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</si>
  <si>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</si>
  <si>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</si>
  <si>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</si>
  <si>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</si>
  <si>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</si>
  <si>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</si>
  <si>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</si>
  <si>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</si>
  <si>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</si>
  <si>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</si>
  <si>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</si>
  <si>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</si>
  <si>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</si>
  <si>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</si>
  <si>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</si>
  <si>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</si>
  <si>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</si>
  <si>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</si>
  <si>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</si>
  <si>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</si>
  <si>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</si>
  <si>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</si>
  <si>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</si>
  <si>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</si>
  <si>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</si>
  <si>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</si>
  <si>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</si>
  <si>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</si>
  <si>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</si>
  <si>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</si>
  <si>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</si>
  <si>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</si>
  <si>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</si>
  <si>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</si>
  <si>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</si>
  <si>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</si>
  <si>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</si>
  <si>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</si>
  <si>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</si>
  <si>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</si>
  <si>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</si>
  <si>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</si>
  <si>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</si>
  <si>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</si>
  <si>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</si>
  <si>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</si>
  <si>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</si>
  <si>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</si>
  <si>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</si>
  <si>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</si>
  <si>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</si>
  <si>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</si>
  <si>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</si>
  <si>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</si>
  <si>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</si>
  <si>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</si>
  <si>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</si>
  <si>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</si>
  <si>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</si>
  <si>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</si>
  <si>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</si>
  <si>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</si>
  <si>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</si>
  <si>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</si>
  <si>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</si>
  <si>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</si>
  <si>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</si>
  <si>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</si>
  <si>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</si>
  <si>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</si>
  <si>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</si>
  <si>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</si>
  <si>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</si>
  <si>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</si>
  <si>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</si>
  <si>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</si>
  <si>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</si>
  <si>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</si>
  <si>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</si>
  <si>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</si>
  <si>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</si>
  <si>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</si>
  <si>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</si>
  <si>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</si>
  <si>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</si>
  <si>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</si>
  <si>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</si>
  <si>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</si>
  <si>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</si>
  <si>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</si>
  <si>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</si>
  <si>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</si>
  <si>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</si>
  <si>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</si>
  <si>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</si>
  <si>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</si>
  <si>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</si>
  <si>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</si>
  <si>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</si>
  <si>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</si>
  <si>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</si>
  <si>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</si>
  <si>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</si>
  <si>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</si>
  <si>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</si>
  <si>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</si>
  <si>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</si>
  <si>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</si>
  <si>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</si>
  <si>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</si>
  <si>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</si>
  <si>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</si>
  <si>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</si>
  <si>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</si>
  <si>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</si>
  <si>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</si>
  <si>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</si>
  <si>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</si>
  <si>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</si>
  <si>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</si>
  <si>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</si>
  <si>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</si>
  <si>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</si>
  <si>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</si>
  <si>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</si>
  <si>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</si>
  <si>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</si>
  <si>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</si>
  <si>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</si>
  <si>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</si>
  <si>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</si>
  <si>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</si>
  <si>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</si>
  <si>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</si>
  <si>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</si>
  <si>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</si>
  <si>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</si>
  <si>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</si>
  <si>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</si>
  <si>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</si>
  <si>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</si>
  <si>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</si>
  <si>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</si>
  <si>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</si>
  <si>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</si>
  <si>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</si>
  <si>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</si>
  <si>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</si>
  <si>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</si>
  <si>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</si>
  <si>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</si>
  <si>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</si>
  <si>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</si>
  <si>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</si>
  <si>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</si>
  <si>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</si>
  <si>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</si>
  <si>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</si>
  <si>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</si>
  <si>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</si>
  <si>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</si>
  <si>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</si>
  <si>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</si>
  <si>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</si>
  <si>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</si>
  <si>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</si>
  <si>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</si>
  <si>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</si>
  <si>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</si>
  <si>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</si>
  <si>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</si>
  <si>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</si>
  <si>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</si>
  <si>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</si>
  <si>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</si>
  <si>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</si>
  <si>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</si>
  <si>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</si>
  <si>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</si>
  <si>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</si>
  <si>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</si>
  <si>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</si>
  <si>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</si>
  <si>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</si>
  <si>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</si>
  <si>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</si>
  <si>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</si>
  <si>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</si>
  <si>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</si>
  <si>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</si>
  <si>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</si>
  <si>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</si>
  <si>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</si>
  <si>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</si>
  <si>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</si>
  <si>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</si>
  <si>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</si>
  <si>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</si>
  <si>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</si>
  <si>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</si>
  <si>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</si>
  <si>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</si>
  <si>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</si>
  <si>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</si>
  <si>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</si>
  <si>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</si>
  <si>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</si>
  <si>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</si>
  <si>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</si>
  <si>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</si>
  <si>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</si>
  <si>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</si>
  <si>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</si>
  <si>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</si>
  <si>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</si>
  <si>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</si>
  <si>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</si>
  <si>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</si>
  <si>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</si>
  <si>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</si>
  <si>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</si>
  <si>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</si>
  <si>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</si>
  <si>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</si>
  <si>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</si>
  <si>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</si>
  <si>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</si>
  <si>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</si>
  <si>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</si>
  <si>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</si>
  <si>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</si>
  <si>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</si>
  <si>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</si>
  <si>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</si>
  <si>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</si>
  <si>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</si>
  <si>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</si>
  <si>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</si>
  <si>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</si>
  <si>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</si>
  <si>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</si>
  <si>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</si>
  <si>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</si>
  <si>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</si>
  <si>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</si>
  <si>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</si>
  <si>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</si>
  <si>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</si>
  <si>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</si>
  <si>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</si>
  <si>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</si>
  <si>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</si>
  <si>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</si>
  <si>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</si>
  <si>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</si>
  <si>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</si>
  <si>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</si>
  <si>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</si>
  <si>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</si>
  <si>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</si>
  <si>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</si>
  <si>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</si>
  <si>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</si>
  <si>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</si>
  <si>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</si>
  <si>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</si>
  <si>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</si>
  <si>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</si>
  <si>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</si>
  <si>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</si>
  <si>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</si>
  <si>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</si>
  <si>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</si>
  <si>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</si>
  <si>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</si>
  <si>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</si>
  <si>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</si>
  <si>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</si>
  <si>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</si>
  <si>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</si>
  <si>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</si>
  <si>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</si>
  <si>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</si>
  <si>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</si>
  <si>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</si>
  <si>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</si>
  <si>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</si>
  <si>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</si>
  <si>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</si>
  <si>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</si>
  <si>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</si>
  <si>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</si>
  <si>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</si>
  <si>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</si>
  <si>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</si>
  <si>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</si>
  <si>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</si>
  <si>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</si>
  <si>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</si>
  <si>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</si>
  <si>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</si>
  <si>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</si>
  <si>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</si>
  <si>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</si>
  <si>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</si>
  <si>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</si>
  <si>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</si>
  <si>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</si>
  <si>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</si>
  <si>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</si>
  <si>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</si>
  <si>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</si>
  <si>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</si>
  <si>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</si>
  <si>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</si>
  <si>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</si>
  <si>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</si>
  <si>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</si>
  <si>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</si>
  <si>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</si>
  <si>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</si>
  <si>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</si>
  <si>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</si>
  <si>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</si>
  <si>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</si>
  <si>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</si>
  <si>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</si>
  <si>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</si>
  <si>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</si>
  <si>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</si>
  <si>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</si>
  <si>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</si>
  <si>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</si>
  <si>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</si>
  <si>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</si>
  <si>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</si>
  <si>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</si>
  <si>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</si>
  <si>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</si>
  <si>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</si>
  <si>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</si>
  <si>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</si>
  <si>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</si>
  <si>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</si>
  <si>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</si>
  <si>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</si>
  <si>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</si>
  <si>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</si>
  <si>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</si>
  <si>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</si>
  <si>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</si>
  <si>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</si>
  <si>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</si>
  <si>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</si>
  <si>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</si>
  <si>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</si>
  <si>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</si>
  <si>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</si>
  <si>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</si>
  <si>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</si>
  <si>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</si>
  <si>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</si>
  <si>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</si>
  <si>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</si>
  <si>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</si>
  <si>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</si>
  <si>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</si>
  <si>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</si>
  <si>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</si>
  <si>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</si>
  <si>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</si>
  <si>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</si>
  <si>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</si>
  <si>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</si>
  <si>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</si>
  <si>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</si>
  <si>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</si>
  <si>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</si>
  <si>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</si>
  <si>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</si>
  <si>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</si>
  <si>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</si>
  <si>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</si>
  <si>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</si>
  <si>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</si>
  <si>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</si>
  <si>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</si>
  <si>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</si>
  <si>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</si>
  <si>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</si>
  <si>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</si>
  <si>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</si>
  <si>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</si>
  <si>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</si>
  <si>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</si>
  <si>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</si>
  <si>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</si>
  <si>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</si>
  <si>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</si>
  <si>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</si>
  <si>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</si>
  <si>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</si>
  <si>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</si>
  <si>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</si>
  <si>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</si>
  <si>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</si>
  <si>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</si>
  <si>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</si>
  <si>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</si>
  <si>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</si>
  <si>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</si>
  <si>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</si>
  <si>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</si>
  <si>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</si>
  <si>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</si>
  <si>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</si>
  <si>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</si>
  <si>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</si>
  <si>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</si>
  <si>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</si>
  <si>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</si>
  <si>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</si>
  <si>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</si>
  <si>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</si>
  <si>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</si>
  <si>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</si>
  <si>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</si>
  <si>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</si>
  <si>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</si>
  <si>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</si>
  <si>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</si>
  <si>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</si>
  <si>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</si>
  <si>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</si>
  <si>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</si>
  <si>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</si>
  <si>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</si>
  <si>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</si>
  <si>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</si>
  <si>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</si>
  <si>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</si>
  <si>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</si>
  <si>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</si>
  <si>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</si>
  <si>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</si>
  <si>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</si>
  <si>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</si>
  <si>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</si>
  <si>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</si>
  <si>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</si>
  <si>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</si>
  <si>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</si>
  <si>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</si>
  <si>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</si>
  <si>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</si>
  <si>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</si>
  <si>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</si>
  <si>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</si>
  <si>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</si>
  <si>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</si>
  <si>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</si>
  <si>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</si>
  <si>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</si>
  <si>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</si>
  <si>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</si>
  <si>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</si>
  <si>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</si>
  <si>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</si>
  <si>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</si>
  <si>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</si>
  <si>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</si>
  <si>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</si>
  <si>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</si>
  <si>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</si>
  <si>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</si>
  <si>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</si>
  <si>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</si>
  <si>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</si>
  <si>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</si>
  <si>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</si>
  <si>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</si>
  <si>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</si>
  <si>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</si>
  <si>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</si>
  <si>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</si>
  <si>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</si>
  <si>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</si>
  <si>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</si>
  <si>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</si>
  <si>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</si>
  <si>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</si>
  <si>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</si>
  <si>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</si>
  <si>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</si>
  <si>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</si>
  <si>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</si>
  <si>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</si>
  <si>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</si>
  <si>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</si>
  <si>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</si>
  <si>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</si>
  <si>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</si>
  <si>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</si>
  <si>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</si>
  <si>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</si>
  <si>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</si>
  <si>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</si>
  <si>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</si>
  <si>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</si>
  <si>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</si>
  <si>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</si>
  <si>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</si>
  <si>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</si>
  <si>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</si>
  <si>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</si>
  <si>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</si>
  <si>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</si>
  <si>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</si>
  <si>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</si>
  <si>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</si>
  <si>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</si>
  <si>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</si>
  <si>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</si>
  <si>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</si>
  <si>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</si>
  <si>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</si>
  <si>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</si>
  <si>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</si>
  <si>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</si>
  <si>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</si>
  <si>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</si>
  <si>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</si>
  <si>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</si>
  <si>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</si>
  <si>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</si>
  <si>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</si>
  <si>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</si>
  <si>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</si>
  <si>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</si>
  <si>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</si>
  <si>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</si>
  <si>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</si>
  <si>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</si>
  <si>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</si>
  <si>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</si>
  <si>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</si>
  <si>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</si>
  <si>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</si>
  <si>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</si>
  <si>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</si>
  <si>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</si>
  <si>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</si>
  <si>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</si>
  <si>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</si>
  <si>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</si>
  <si>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</si>
  <si>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</si>
  <si>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</si>
  <si>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</si>
  <si>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</si>
  <si>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</si>
  <si>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</si>
  <si>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</si>
  <si>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</si>
  <si>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</si>
  <si>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</si>
  <si>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</si>
  <si>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</si>
  <si>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</si>
  <si>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</si>
  <si>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</si>
  <si>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</si>
  <si>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</si>
  <si>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</si>
  <si>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</si>
  <si>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</si>
  <si>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</si>
  <si>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</si>
  <si>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</si>
  <si>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</si>
  <si>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</si>
  <si>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</si>
  <si>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</si>
  <si>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</si>
  <si>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</si>
  <si>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</si>
  <si>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</si>
  <si>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</si>
  <si>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</si>
  <si>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</si>
  <si>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</si>
  <si>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</si>
  <si>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</si>
  <si>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</si>
  <si>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</si>
  <si>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</si>
  <si>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</si>
  <si>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</si>
  <si>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</si>
  <si>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</si>
  <si>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</si>
  <si>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</si>
  <si>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</si>
  <si>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</si>
  <si>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</si>
  <si>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</si>
  <si>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</si>
  <si>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</si>
  <si>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</si>
  <si>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</si>
  <si>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</si>
  <si>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</si>
  <si>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</si>
  <si>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</si>
  <si>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</si>
  <si>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</si>
  <si>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</si>
  <si>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</si>
  <si>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</si>
  <si>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</si>
  <si>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</si>
  <si>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</si>
  <si>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</si>
  <si>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</si>
  <si>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</si>
  <si>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</si>
  <si>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</si>
  <si>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</si>
  <si>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</si>
  <si>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</si>
  <si>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</si>
  <si>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</si>
  <si>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</si>
  <si>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</si>
  <si>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</si>
  <si>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</si>
  <si>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</si>
  <si>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</si>
  <si>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</si>
  <si>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</si>
  <si>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</si>
  <si>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</si>
  <si>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</si>
  <si>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</si>
  <si>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</si>
  <si>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</si>
  <si>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</si>
  <si>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</si>
  <si>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</si>
  <si>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</si>
  <si>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</si>
  <si>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</si>
  <si>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</si>
  <si>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</si>
  <si>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</si>
  <si>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</si>
  <si>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</si>
  <si>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</si>
  <si>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</si>
  <si>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</si>
  <si>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</si>
  <si>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</si>
  <si>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</si>
  <si>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</si>
  <si>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</si>
  <si>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</si>
  <si>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</si>
  <si>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</si>
  <si>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</si>
  <si>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</si>
  <si>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</si>
  <si>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</si>
  <si>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</si>
  <si>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</si>
  <si>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</si>
  <si>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</si>
  <si>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</si>
  <si>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</si>
  <si>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</si>
  <si>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</si>
  <si>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</si>
  <si>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</si>
  <si>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</si>
  <si>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</si>
  <si>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</si>
  <si>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</si>
  <si>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</si>
  <si>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</si>
  <si>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</si>
  <si>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</si>
  <si>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</si>
  <si>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</si>
  <si>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</si>
  <si>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</si>
  <si>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</si>
  <si>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</si>
  <si>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</si>
  <si>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</si>
  <si>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</si>
  <si>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</si>
  <si>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</si>
  <si>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</si>
  <si>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</si>
  <si>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</si>
  <si>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</si>
  <si>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</si>
  <si>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</si>
  <si>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</si>
  <si>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</si>
  <si>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</si>
  <si>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</si>
  <si>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</si>
  <si>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</si>
  <si>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</si>
  <si>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</si>
  <si>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</si>
  <si>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</si>
  <si>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</si>
  <si>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</si>
  <si>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</si>
  <si>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</si>
  <si>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</si>
  <si>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</si>
  <si>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</si>
  <si>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</si>
  <si>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</si>
  <si>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</si>
  <si>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</si>
  <si>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</si>
  <si>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</si>
  <si>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</si>
  <si>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</si>
  <si>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</si>
  <si>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</si>
  <si>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</si>
  <si>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</si>
  <si>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</si>
  <si>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</si>
  <si>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</si>
  <si>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</si>
  <si>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</si>
  <si>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</si>
  <si>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</si>
  <si>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</si>
  <si>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</si>
  <si>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</si>
  <si>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</si>
  <si>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</si>
  <si>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</si>
  <si>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</si>
  <si>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</si>
  <si>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</si>
  <si>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</si>
  <si>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</si>
  <si>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</si>
  <si>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</si>
  <si>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</si>
  <si>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</si>
  <si>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</si>
  <si>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</si>
  <si>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</si>
  <si>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</si>
  <si>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</si>
  <si>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</si>
  <si>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</si>
  <si>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</si>
  <si>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</si>
  <si>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</si>
  <si>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</si>
  <si>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</si>
  <si>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</si>
  <si>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</si>
  <si>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</si>
  <si>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</si>
  <si>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</si>
  <si>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</si>
  <si>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</si>
  <si>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</si>
  <si>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</si>
  <si>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</si>
  <si>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</si>
  <si>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</si>
  <si>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</si>
  <si>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</si>
  <si>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</si>
  <si>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</si>
  <si>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</si>
  <si>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</si>
  <si>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</si>
  <si>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</si>
  <si>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</si>
  <si>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</si>
  <si>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</si>
  <si>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</si>
  <si>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</si>
  <si>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</si>
  <si>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</si>
  <si>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</si>
  <si>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</si>
  <si>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</si>
  <si>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</si>
  <si>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</si>
  <si>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</si>
  <si>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</si>
  <si>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</si>
  <si>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</si>
  <si>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</si>
  <si>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</si>
  <si>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</si>
  <si>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</si>
  <si>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</si>
  <si>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</si>
  <si>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</si>
  <si>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</si>
  <si>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</si>
  <si>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</si>
  <si>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</si>
  <si>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</si>
  <si>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</si>
  <si>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</si>
  <si>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</si>
  <si>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</si>
  <si>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</si>
  <si>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</si>
  <si>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</si>
  <si>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</si>
  <si>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</si>
  <si>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</si>
  <si>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</si>
  <si>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</si>
  <si>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</si>
  <si>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</si>
  <si>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</si>
  <si>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</si>
  <si>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</si>
  <si>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</si>
  <si>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</si>
  <si>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</si>
  <si>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</si>
  <si>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</si>
  <si>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</si>
  <si>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</si>
  <si>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</si>
  <si>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</si>
  <si>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</si>
  <si>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</si>
  <si>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</si>
  <si>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</si>
  <si>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</si>
  <si>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</si>
  <si>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</si>
  <si>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</si>
  <si>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</si>
  <si>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</si>
  <si>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</si>
  <si>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</si>
  <si>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</si>
  <si>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</si>
  <si>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</si>
  <si>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</si>
  <si>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</si>
  <si>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</si>
  <si>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</si>
  <si>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</si>
  <si>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</si>
  <si>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</si>
  <si>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</si>
  <si>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</si>
  <si>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</si>
  <si>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</si>
  <si>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</si>
  <si>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</si>
  <si>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</si>
  <si>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</si>
  <si>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</si>
  <si>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</si>
  <si>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</si>
  <si>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</si>
  <si>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</si>
  <si>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</si>
  <si>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</si>
  <si>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</si>
  <si>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</si>
  <si>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</si>
  <si>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</si>
  <si>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</si>
  <si>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</si>
  <si>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</si>
  <si>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</si>
  <si>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</si>
  <si>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</si>
  <si>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</si>
  <si>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</si>
  <si>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</si>
  <si>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</si>
  <si>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</si>
  <si>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</si>
  <si>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</si>
  <si>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</si>
  <si>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</si>
  <si>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</si>
  <si>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</si>
  <si>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</si>
  <si>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</si>
  <si>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</si>
  <si>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</si>
  <si>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</si>
  <si>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</si>
  <si>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</si>
  <si>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</si>
  <si>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</si>
  <si>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</si>
  <si>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Em andamento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</si>
  <si>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</si>
  <si>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</si>
  <si>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</si>
  <si>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</si>
  <si>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</si>
  <si>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</si>
  <si>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</si>
  <si>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 realizar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</si>
  <si>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</si>
  <si>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</si>
  <si>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</si>
  <si>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</si>
  <si>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</si>
  <si>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</si>
  <si>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</si>
  <si>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</si>
  <si>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</si>
  <si>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</si>
  <si>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</si>
  <si>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</si>
  <si>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</si>
  <si>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</si>
  <si>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</si>
  <si>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</si>
  <si>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21 e 22/09/2026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</si>
  <si>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</si>
  <si>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</si>
  <si>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</si>
  <si>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</si>
  <si>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</si>
  <si>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</si>
  <si>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</si>
  <si>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</si>
  <si>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</si>
  <si>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</si>
  <si>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</si>
  <si>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</si>
  <si>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</si>
  <si>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</si>
  <si>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</si>
  <si>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</si>
  <si>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</si>
  <si>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</si>
  <si>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</si>
  <si>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</si>
  <si>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</si>
  <si>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</si>
  <si>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</si>
  <si>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</si>
  <si>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</si>
  <si>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</si>
  <si>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</si>
  <si>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</si>
  <si>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</si>
  <si>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</si>
  <si>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</si>
  <si>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</si>
  <si>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</si>
  <si>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</si>
  <si>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</si>
  <si>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</si>
  <si>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</si>
  <si>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</si>
  <si>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</si>
  <si>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</si>
  <si>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</si>
  <si>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</si>
  <si>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</si>
  <si>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</si>
  <si>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</si>
  <si>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</si>
  <si>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</si>
  <si>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</si>
  <si>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3 e 4/08/2026</t>
  </si>
  <si>
    <t>6503/2026</t>
  </si>
  <si>
    <t>Curso “Sisaudit na Prática”</t>
  </si>
  <si>
    <t>Davi Assunção Salvador Nery de Castro; David da Silva de Araújo; Hamilton de Jesus Lopes Neto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</si>
  <si>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</si>
  <si>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</si>
  <si>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</si>
  <si>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</si>
  <si>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</si>
  <si>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</si>
  <si>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</si>
  <si>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</si>
  <si>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</si>
  <si>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</si>
  <si>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</si>
  <si>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</si>
  <si>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</si>
  <si>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</si>
  <si>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</si>
  <si>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</si>
  <si>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</si>
  <si>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</si>
  <si>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</si>
  <si>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</si>
  <si>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</si>
  <si>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</si>
  <si>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</si>
  <si>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</si>
  <si>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</si>
  <si>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</si>
  <si>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</si>
  <si>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</si>
  <si>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</si>
  <si>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</si>
  <si>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</si>
  <si>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</si>
  <si>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</si>
  <si>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</si>
  <si>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</si>
  <si>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</si>
  <si>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</si>
  <si>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</si>
  <si>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</si>
  <si>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</si>
  <si>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</si>
  <si>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</si>
  <si>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</si>
  <si>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</si>
  <si>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</si>
  <si>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</si>
  <si>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</si>
  <si>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</si>
  <si>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</si>
  <si>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</si>
  <si>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</si>
  <si>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</si>
  <si>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</si>
  <si>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</si>
  <si>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</si>
  <si>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</si>
  <si>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</si>
  <si>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</si>
  <si>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</si>
  <si>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</si>
  <si>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</si>
  <si>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</si>
  <si>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</si>
  <si>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</si>
  <si>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</si>
  <si>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</si>
  <si>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</si>
  <si>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</si>
  <si>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</si>
  <si>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</si>
  <si>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</si>
  <si>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</si>
  <si>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</si>
  <si>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</si>
  <si>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</si>
  <si>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</si>
  <si>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</si>
  <si>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</si>
  <si>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</si>
  <si>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</si>
  <si>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</si>
  <si>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</si>
  <si>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</si>
  <si>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</si>
  <si>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</si>
  <si>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</si>
  <si>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</si>
  <si>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</si>
  <si>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</si>
  <si>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</si>
  <si>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</si>
  <si>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</si>
  <si>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</si>
  <si>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</si>
  <si>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</si>
  <si>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</si>
  <si>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</si>
  <si>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</si>
  <si>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</si>
  <si>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</si>
  <si>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</si>
  <si>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</si>
  <si>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</si>
  <si>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</si>
  <si>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</si>
  <si>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</si>
  <si>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</si>
  <si>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</si>
  <si>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</si>
  <si>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</si>
  <si>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</si>
  <si>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</si>
  <si>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</si>
  <si>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</si>
  <si>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</si>
  <si>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</si>
  <si>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</si>
  <si>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</si>
  <si>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</si>
  <si>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</si>
  <si>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</si>
  <si>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</si>
  <si>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</si>
  <si>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</si>
  <si>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</si>
  <si>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</si>
  <si>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</si>
  <si>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</si>
  <si>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teste</t>
  </si>
  <si>
    <t>03/06/2026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</si>
</sst>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14</c:v>
                </c:pt>
                <c:pt idx="1">
                  <c:v>9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417</c:v>
                </c:pt>
                <c:pt idx="1">
                  <c:v>403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2</c:v>
                </c:pt>
                <c:pt idx="7">
                  <c:v>0</c:v>
                </c:pt>
                <c:pt idx="8">
                  <c:v>4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88" zoomScaleNormal="100" workbookViewId="0">
      <pane xSplit="3" topLeftCell="F1" activePane="topRight" state="frozen"/>
      <selection pane="topRight" activeCell="L704" sqref="L704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449" si="6"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9" si="10"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21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2737</v>
      </c>
      <c r="E675" s="27" t="s">
        <v>2625</v>
      </c>
      <c r="F675" s="29" t="s">
        <v>80</v>
      </c>
      <c r="G675" s="48" t="s">
        <v>2725</v>
      </c>
      <c r="H675" s="263" t="s">
        <v>2740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2739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2741</v>
      </c>
      <c r="D676" s="24" t="s">
        <v>2742</v>
      </c>
      <c r="E676" s="30" t="s">
        <v>2743</v>
      </c>
      <c r="F676" s="31" t="s">
        <v>23</v>
      </c>
      <c r="G676" s="21" t="s">
        <v>2693</v>
      </c>
      <c r="H676" s="38" t="s">
        <v>2744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2695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2745</v>
      </c>
      <c r="E677" s="275" t="s">
        <v>2746</v>
      </c>
      <c r="F677" s="188" t="s">
        <v>23</v>
      </c>
      <c r="G677" s="194" t="s">
        <v>37</v>
      </c>
      <c r="H677" s="189" t="s">
        <v>2747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2688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2690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2756</v>
      </c>
      <c r="D680" s="70" t="s">
        <v>2742</v>
      </c>
      <c r="E680" s="65" t="s">
        <v>2757</v>
      </c>
      <c r="F680" s="29" t="s">
        <v>23</v>
      </c>
      <c r="G680" s="20" t="s">
        <v>2693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2748</v>
      </c>
      <c r="D681" s="186" t="s">
        <v>2753</v>
      </c>
      <c r="E681" s="273" t="s">
        <v>2759</v>
      </c>
      <c r="F681" s="31" t="s">
        <v>61</v>
      </c>
      <c r="G681" s="194" t="s">
        <v>2688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/>
      <c r="O681" s="193"/>
      <c r="P681" s="193"/>
      <c r="Q681" s="193"/>
      <c r="R681" s="193">
        <f t="shared" si="13"/>
        <v>0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2756</v>
      </c>
      <c r="D682" s="180" t="s">
        <v>2761</v>
      </c>
      <c r="E682" s="164" t="s">
        <v>2762</v>
      </c>
      <c r="F682" s="29" t="s">
        <v>61</v>
      </c>
      <c r="G682" s="181" t="s">
        <v>2688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2756</v>
      </c>
      <c r="D683" s="186" t="s">
        <v>2764</v>
      </c>
      <c r="E683" s="187" t="s">
        <v>2765</v>
      </c>
      <c r="F683" s="31" t="s">
        <v>61</v>
      </c>
      <c r="G683" s="21" t="s">
        <v>71</v>
      </c>
      <c r="H683" s="189" t="s">
        <v>2766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2767</v>
      </c>
      <c r="D684" s="70" t="s">
        <v>2768</v>
      </c>
      <c r="E684" s="164" t="s">
        <v>2769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2756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2773</v>
      </c>
      <c r="I685" s="214">
        <v>46286</v>
      </c>
      <c r="J685" s="214">
        <v>46287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14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2767</v>
      </c>
      <c r="D686" s="219" t="s">
        <v>2774</v>
      </c>
      <c r="E686" s="240" t="s">
        <v>2775</v>
      </c>
      <c r="F686" s="221" t="s">
        <v>23</v>
      </c>
      <c r="G686" s="218" t="s">
        <v>67</v>
      </c>
      <c r="H686" s="222" t="s">
        <v>2776</v>
      </c>
      <c r="I686" s="223">
        <v>46167</v>
      </c>
      <c r="J686" s="223">
        <v>46176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14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2741</v>
      </c>
      <c r="D687" s="210" t="s">
        <v>2777</v>
      </c>
      <c r="E687" s="211" t="s">
        <v>2778</v>
      </c>
      <c r="F687" s="212" t="s">
        <v>23</v>
      </c>
      <c r="G687" s="209" t="s">
        <v>67</v>
      </c>
      <c r="H687" s="213" t="s">
        <v>2779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14"/>
        <v>0</v>
      </c>
      <c r="S687" s="210">
        <v>25</v>
      </c>
      <c r="T687" t="s">
        <v>2780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2756</v>
      </c>
      <c r="D688" s="219" t="s">
        <v>2781</v>
      </c>
      <c r="E688" s="240" t="s">
        <v>2782</v>
      </c>
      <c r="F688" s="221" t="s">
        <v>80</v>
      </c>
      <c r="G688" s="218" t="s">
        <v>2725</v>
      </c>
      <c r="H688" s="222" t="s">
        <v>2783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14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2784</v>
      </c>
      <c r="E689" s="245" t="s">
        <v>2785</v>
      </c>
      <c r="F689" s="212" t="s">
        <v>23</v>
      </c>
      <c r="G689" s="209" t="s">
        <v>2709</v>
      </c>
      <c r="H689" s="247" t="s">
        <v>2786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14"/>
        <v>22</v>
      </c>
      <c r="S689" s="210">
        <v>8</v>
      </c>
      <c r="T689" s="105" t="s">
        <v>2729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2756</v>
      </c>
      <c r="D690" s="219" t="s">
        <v>2784</v>
      </c>
      <c r="E690" s="246" t="s">
        <v>2787</v>
      </c>
      <c r="F690" s="221" t="s">
        <v>23</v>
      </c>
      <c r="G690" s="218" t="s">
        <v>2709</v>
      </c>
      <c r="H690" s="248" t="s">
        <v>2788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/>
      <c r="P690" s="225"/>
      <c r="Q690" s="225"/>
      <c r="R690" s="225">
        <f t="shared" si="14"/>
        <v>0</v>
      </c>
      <c r="S690" s="219">
        <v>8</v>
      </c>
      <c r="T690" s="104" t="s">
        <v>2729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2789</v>
      </c>
      <c r="E691" s="245" t="s">
        <v>2667</v>
      </c>
      <c r="F691" s="212" t="s">
        <v>23</v>
      </c>
      <c r="G691" s="209" t="s">
        <v>37</v>
      </c>
      <c r="H691" s="213" t="s">
        <v>2790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14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2791</v>
      </c>
      <c r="E692" s="246" t="s">
        <v>2792</v>
      </c>
      <c r="F692" s="221" t="s">
        <v>23</v>
      </c>
      <c r="G692" s="218" t="s">
        <v>363</v>
      </c>
      <c r="H692" s="222" t="s">
        <v>2793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14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2794</v>
      </c>
      <c r="E693" s="245" t="s">
        <v>2795</v>
      </c>
      <c r="F693" s="212" t="s">
        <v>23</v>
      </c>
      <c r="G693" s="209" t="s">
        <v>24</v>
      </c>
      <c r="H693" s="213" t="s">
        <v>2796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14"/>
        <v>30</v>
      </c>
      <c r="S693" s="210">
        <v>12</v>
      </c>
      <c r="T693" s="209" t="s">
        <v>2797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2756</v>
      </c>
      <c r="D694" s="219" t="s">
        <v>2798</v>
      </c>
      <c r="E694" s="220" t="s">
        <v>2799</v>
      </c>
      <c r="F694" s="221" t="s">
        <v>61</v>
      </c>
      <c r="G694" s="218" t="s">
        <v>2688</v>
      </c>
      <c r="H694" s="222" t="s">
        <v>2800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14"/>
        <v>0</v>
      </c>
      <c r="S694" s="219">
        <v>85</v>
      </c>
      <c r="T694" s="218" t="s">
        <v>2690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2756</v>
      </c>
      <c r="D695" s="210" t="s">
        <v>2801</v>
      </c>
      <c r="E695" s="211" t="s">
        <v>2802</v>
      </c>
      <c r="F695" s="212" t="s">
        <v>80</v>
      </c>
      <c r="G695" s="261" t="s">
        <v>2725</v>
      </c>
      <c r="H695" s="213" t="s">
        <v>2803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14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2804</v>
      </c>
      <c r="E696" s="220" t="s">
        <v>2805</v>
      </c>
      <c r="F696" s="221" t="s">
        <v>80</v>
      </c>
      <c r="G696" s="270" t="s">
        <v>2725</v>
      </c>
      <c r="H696" s="222" t="s">
        <v>2806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14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2807</v>
      </c>
      <c r="E697" s="211" t="s">
        <v>2808</v>
      </c>
      <c r="F697" s="212" t="s">
        <v>80</v>
      </c>
      <c r="G697" s="261" t="s">
        <v>2725</v>
      </c>
      <c r="H697" s="213" t="s">
        <v>2809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14"/>
        <v>50</v>
      </c>
      <c r="S697" s="210">
        <v>3</v>
      </c>
      <c r="T697" s="209" t="s">
        <v>2810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2756</v>
      </c>
      <c r="D698" s="219" t="s">
        <v>2811</v>
      </c>
      <c r="E698" s="220" t="s">
        <v>2812</v>
      </c>
      <c r="F698" s="221" t="s">
        <v>23</v>
      </c>
      <c r="G698" s="218" t="s">
        <v>24</v>
      </c>
      <c r="H698" s="222" t="s">
        <v>2800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14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2756</v>
      </c>
      <c r="D699" s="210" t="s">
        <v>2813</v>
      </c>
      <c r="E699" s="211" t="s">
        <v>2814</v>
      </c>
      <c r="F699" s="212" t="s">
        <v>23</v>
      </c>
      <c r="G699" s="209" t="s">
        <v>67</v>
      </c>
      <c r="H699" s="213" t="s">
        <v>2815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14"/>
        <v>0</v>
      </c>
      <c r="S699" s="210">
        <v>10</v>
      </c>
      <c r="T699" s="209" t="s">
        <v>2816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2756</v>
      </c>
      <c r="D700" s="219" t="s">
        <v>2817</v>
      </c>
      <c r="E700" s="220" t="s">
        <v>2818</v>
      </c>
      <c r="F700" s="221" t="s">
        <v>61</v>
      </c>
      <c r="G700" s="218" t="s">
        <v>71</v>
      </c>
      <c r="H700" s="222" t="s">
        <v>2819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14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2756</v>
      </c>
      <c r="D701" s="210" t="s">
        <v>2820</v>
      </c>
      <c r="E701" s="211" t="s">
        <v>2821</v>
      </c>
      <c r="F701" s="212" t="s">
        <v>61</v>
      </c>
      <c r="G701" s="209" t="s">
        <v>71</v>
      </c>
      <c r="H701" s="213" t="s">
        <v>2822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14"/>
        <v>0</v>
      </c>
      <c r="S701" s="210">
        <v>8</v>
      </c>
      <c r="T701" s="209"/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2748</v>
      </c>
      <c r="D702" s="219" t="s">
        <v>2823</v>
      </c>
      <c r="E702" s="220" t="s">
        <v>2824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/>
      <c r="M702" s="215"/>
      <c r="N702" s="226"/>
      <c r="O702" s="225"/>
      <c r="P702" s="225"/>
      <c r="Q702" s="225"/>
      <c r="R702" s="225">
        <f t="shared" si="14"/>
        <v>0</v>
      </c>
      <c r="S702" s="219">
        <v>12</v>
      </c>
      <c r="T702" s="218" t="s">
        <v>2825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2756</v>
      </c>
      <c r="D703" s="210"/>
      <c r="E703" s="211" t="s">
        <v>2954</v>
      </c>
      <c r="F703" s="212" t="s">
        <v>23</v>
      </c>
      <c r="G703" s="209" t="s">
        <v>24</v>
      </c>
      <c r="H703" s="213" t="s">
        <v>2955</v>
      </c>
      <c r="I703" s="213" t="s">
        <v>2955</v>
      </c>
      <c r="J703" s="213" t="s">
        <v>2955</v>
      </c>
      <c r="K703" s="210" t="s">
        <v>34</v>
      </c>
      <c r="L703" s="224">
        <v>1000</v>
      </c>
      <c r="M703" s="215"/>
      <c r="N703" s="216"/>
      <c r="O703" s="217"/>
      <c r="P703" s="217"/>
      <c r="Q703" s="217"/>
      <c r="R703" s="217">
        <f t="shared" si="14"/>
        <v>0</v>
      </c>
      <c r="S703" s="210"/>
      <c r="T703" s="209"/>
      <c r="U703" s="203"/>
    </row>
    <row r="704" spans="1:21" ht="23.25" customHeight="1" x14ac:dyDescent="0.25">
      <c r="A704" s="218" t="str">
        <f>IF(B704="","",B704&amp;"-"&amp;TEXT(COUNTIF(B$2:B704,B704),"000"))</f>
        <v/>
      </c>
      <c r="B704" s="219"/>
      <c r="C704" s="219"/>
      <c r="D704" s="219"/>
      <c r="E704" s="220"/>
      <c r="F704" s="221"/>
      <c r="G704" s="218"/>
      <c r="H704" s="222"/>
      <c r="I704" s="223"/>
      <c r="J704" s="223"/>
      <c r="K704" s="219"/>
      <c r="L704" s="224"/>
      <c r="M704" s="215"/>
      <c r="N704" s="226"/>
      <c r="O704" s="225"/>
      <c r="P704" s="225"/>
      <c r="Q704" s="225"/>
      <c r="R704" s="225" t="str">
        <f t="shared" si="14"/>
        <v/>
      </c>
      <c r="S704" s="219"/>
      <c r="T704" s="218"/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14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14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14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14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14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14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14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14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14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14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14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14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14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14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14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14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14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14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14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14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14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14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14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14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14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14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14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14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14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14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14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14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14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14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14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14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14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14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14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14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14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14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14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5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702 I704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E1" workbookViewId="0">
      <pane ySplit="1" topLeftCell="A59" activePane="bottomLeft" state="frozen"/>
      <selection pane="bottomLeft" activeCell="K67" sqref="K67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2826</v>
      </c>
      <c r="C1" s="96" t="s">
        <v>2827</v>
      </c>
      <c r="D1" s="96" t="s">
        <v>4</v>
      </c>
      <c r="E1" s="96" t="s">
        <v>2828</v>
      </c>
      <c r="F1" s="96" t="s">
        <v>19</v>
      </c>
      <c r="G1" s="96" t="s">
        <v>2829</v>
      </c>
      <c r="H1" s="96" t="s">
        <v>2830</v>
      </c>
      <c r="I1" s="96" t="s">
        <v>2831</v>
      </c>
      <c r="J1" s="96" t="s">
        <v>2832</v>
      </c>
      <c r="L1" s="129" t="s">
        <v>2833</v>
      </c>
      <c r="M1" s="100">
        <v>2026</v>
      </c>
      <c r="U1" s="162" t="s">
        <v>2834</v>
      </c>
      <c r="V1" s="161"/>
      <c r="X1" s="159" t="s">
        <v>2835</v>
      </c>
      <c r="Y1" s="107"/>
      <c r="Z1" s="107"/>
      <c r="AA1" s="107"/>
      <c r="AC1" s="254" t="s">
        <v>2836</v>
      </c>
    </row>
    <row r="2" spans="1:31" x14ac:dyDescent="0.25">
      <c r="A2" s="98" cm="1">
        <f t="array" ref="A2:J70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2826</v>
      </c>
      <c r="Y2" s="160" t="s">
        <v>19</v>
      </c>
      <c r="Z2" s="160" t="s">
        <v>2837</v>
      </c>
      <c r="AA2" s="160" t="s">
        <v>2838</v>
      </c>
      <c r="AC2" s="255" t="s">
        <v>1</v>
      </c>
      <c r="AD2" s="255" t="s">
        <v>2839</v>
      </c>
      <c r="AE2" s="255" t="s">
        <v>2840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2841</v>
      </c>
      <c r="M3" s="19" t="s">
        <v>2842</v>
      </c>
      <c r="N3" s="19" t="s">
        <v>2843</v>
      </c>
      <c r="O3" s="19" t="s">
        <v>2844</v>
      </c>
      <c r="P3" s="19" t="s">
        <v>2845</v>
      </c>
      <c r="Q3" s="19" t="s">
        <v>2846</v>
      </c>
      <c r="R3" s="19" t="s">
        <v>2847</v>
      </c>
      <c r="S3" s="19" t="s">
        <v>2848</v>
      </c>
      <c r="T3" s="19" t="s">
        <v>2849</v>
      </c>
      <c r="X3" t="s">
        <v>2850</v>
      </c>
      <c r="Y3" t="s">
        <v>2695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39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0">_xlfn.VSTACK(0,_xlfn._xlws.FILTER(S4:S200,S4:S200&lt;&gt;""))</f>
        <v>0</v>
      </c>
      <c r="X4" t="s">
        <v>2851</v>
      </c>
      <c r="Y4" t="s">
        <v>2695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2852</v>
      </c>
      <c r="Y5" t="s">
        <v>2711</v>
      </c>
      <c r="Z5">
        <v>1</v>
      </c>
      <c r="AA5">
        <v>0.6</v>
      </c>
      <c r="AC5" s="249">
        <v>2026</v>
      </c>
      <c r="AD5" s="95" t="s">
        <v>2853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2852</v>
      </c>
      <c r="Y6" t="s">
        <v>2854</v>
      </c>
      <c r="Z6">
        <v>1</v>
      </c>
      <c r="AA6">
        <v>0</v>
      </c>
      <c r="AC6" s="249">
        <v>2026</v>
      </c>
      <c r="AD6" s="95" t="s">
        <v>2855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2856</v>
      </c>
      <c r="Y7" t="s">
        <v>2695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2857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2857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2857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2857</v>
      </c>
      <c r="Y11" s="95" t="s">
        <v>2858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2857</v>
      </c>
      <c r="Y12" s="95" t="s">
        <v>2859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2860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2860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2860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2860</v>
      </c>
      <c r="Y16" s="95" t="s">
        <v>2858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2860</v>
      </c>
      <c r="Y17" s="95" t="s">
        <v>2859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2861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2861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2861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2861</v>
      </c>
      <c r="Y21" s="95" t="s">
        <v>2858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 realizar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2861</v>
      </c>
      <c r="Y22" s="95" t="s">
        <v>2859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Em andamento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2862</v>
      </c>
      <c r="Y23" s="95" t="s">
        <v>2711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2862</v>
      </c>
      <c r="Y24" s="95" t="s">
        <v>2854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2863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2863</v>
      </c>
      <c r="Y26" s="95" t="s">
        <v>2864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2865</v>
      </c>
      <c r="Y27" s="95" t="s">
        <v>2711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2865</v>
      </c>
      <c r="Y28" s="95" t="s">
        <v>2854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2866</v>
      </c>
      <c r="Y29" s="95" t="s">
        <v>2711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2866</v>
      </c>
      <c r="Y30" s="95" t="s">
        <v>2854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2867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2868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2868</v>
      </c>
      <c r="Y33" t="s">
        <v>2869</v>
      </c>
      <c r="Z33">
        <v>4</v>
      </c>
      <c r="AA33">
        <v>0.6</v>
      </c>
      <c r="AC33" s="251"/>
      <c r="AD33" s="252" t="s">
        <v>2870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2868</v>
      </c>
      <c r="Y34" t="s">
        <v>2871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2868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2868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2872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Em andamento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2872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teste</v>
      </c>
      <c r="P39">
        <v>0</v>
      </c>
      <c r="Q39">
        <v>0</v>
      </c>
      <c r="R39">
        <v>1</v>
      </c>
      <c r="S39">
        <v>69</v>
      </c>
      <c r="T39">
        <v>68</v>
      </c>
      <c r="X39" t="s">
        <v>2873</v>
      </c>
      <c r="Y39" t="s">
        <v>548</v>
      </c>
      <c r="Z39">
        <v>32</v>
      </c>
      <c r="AA39">
        <v>0</v>
      </c>
    </row>
    <row r="40" spans="1:31" x14ac:dyDescent="0.25">
      <c r="A40">
        <v>2026</v>
      </c>
      <c r="B40" t="str">
        <v>2026-024</v>
      </c>
      <c r="C40" s="163" t="str">
        <v>A realizar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R40" t="str">
        <v/>
      </c>
      <c r="S40" t="str">
        <v/>
      </c>
      <c r="T40">
        <v>69</v>
      </c>
      <c r="X40" t="s">
        <v>2874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Em andamento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</row>
    <row r="42" spans="1:31" x14ac:dyDescent="0.25">
      <c r="A42">
        <v>2026</v>
      </c>
      <c r="B42" t="str">
        <v>2026-025</v>
      </c>
      <c r="C42" s="163" t="str">
        <v>Em andamento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32</v>
      </c>
      <c r="I64">
        <v>0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 x14ac:dyDescent="0.25">
      <c r="A67">
        <v>2026</v>
      </c>
      <c r="B67" t="str">
        <v>2026-046</v>
      </c>
      <c r="C67" t="str">
        <v>Em andamento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 x14ac:dyDescent="0.25">
      <c r="A68">
        <v>2026</v>
      </c>
      <c r="B68" t="str">
        <v>2026-046</v>
      </c>
      <c r="C68" t="str">
        <v>Em andamento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 x14ac:dyDescent="0.25">
      <c r="A69">
        <v>2026</v>
      </c>
      <c r="B69" t="str">
        <v>2026-046</v>
      </c>
      <c r="C69" t="str">
        <v>Em andamento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 x14ac:dyDescent="0.25">
      <c r="A70">
        <v>2026</v>
      </c>
      <c r="B70" t="str">
        <v>2026-047</v>
      </c>
      <c r="C70" t="str">
        <v>A realizar</v>
      </c>
      <c r="D70" t="str">
        <v>teste</v>
      </c>
      <c r="E70">
        <v>0</v>
      </c>
      <c r="F70" t="str">
        <v>0</v>
      </c>
      <c r="G70">
        <v>1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 x14ac:dyDescent="0.25">
      <c r="R71" t="str">
        <v/>
      </c>
      <c r="S71" t="str">
        <v/>
      </c>
    </row>
    <row r="72" spans="1:19" x14ac:dyDescent="0.25">
      <c r="R72" t="str">
        <v/>
      </c>
      <c r="S72" t="str">
        <v/>
      </c>
    </row>
    <row r="73" spans="1:19" x14ac:dyDescent="0.25">
      <c r="R73" t="str">
        <v/>
      </c>
      <c r="S73" t="str">
        <v/>
      </c>
    </row>
    <row r="74" spans="1:19" x14ac:dyDescent="0.25">
      <c r="R74" t="str">
        <v/>
      </c>
      <c r="S74" t="str">
        <v/>
      </c>
    </row>
    <row r="75" spans="1:19" x14ac:dyDescent="0.25">
      <c r="R75" t="str">
        <v/>
      </c>
      <c r="S75" t="str">
        <v/>
      </c>
    </row>
    <row r="76" spans="1:19" x14ac:dyDescent="0.25">
      <c r="R76" t="str">
        <v/>
      </c>
      <c r="S76" t="str">
        <v/>
      </c>
    </row>
    <row r="77" spans="1:19" x14ac:dyDescent="0.25">
      <c r="R77" t="str">
        <v/>
      </c>
      <c r="S77" t="str">
        <v/>
      </c>
    </row>
    <row r="78" spans="1:19" x14ac:dyDescent="0.25">
      <c r="R78" t="str">
        <v/>
      </c>
      <c r="S78" t="str">
        <v/>
      </c>
    </row>
    <row r="79" spans="1:19" x14ac:dyDescent="0.25">
      <c r="R79" t="str">
        <v/>
      </c>
      <c r="S79" t="str">
        <v/>
      </c>
    </row>
    <row r="80" spans="1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41" sqref="A41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2875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2876</v>
      </c>
      <c r="B4" s="282"/>
      <c r="D4" s="283" t="s">
        <v>2877</v>
      </c>
      <c r="E4" s="284"/>
      <c r="G4" s="125" t="s">
        <v>2878</v>
      </c>
    </row>
    <row r="5" spans="1:7" ht="54.95" customHeight="1" thickBot="1" x14ac:dyDescent="0.75">
      <c r="A5" s="115">
        <f>COUNTIF('Ações InCompany'!B:B,2026)</f>
        <v>47</v>
      </c>
      <c r="B5" s="116" t="s">
        <v>2879</v>
      </c>
      <c r="D5" s="123">
        <f>COUNTIFS('Ações InCompany'!B:B,2026,'Ações InCompany'!C:C,"Realizado")</f>
        <v>28</v>
      </c>
      <c r="E5" s="124" t="s">
        <v>2879</v>
      </c>
      <c r="G5" s="126">
        <f>COUNTIFS('Ações InCompany'!B:B,2026,'Ações InCompany'!C:C,"A realizar")</f>
        <v>13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2880</v>
      </c>
      <c r="B8" s="278"/>
      <c r="D8" s="278" t="s">
        <v>2881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2882</v>
      </c>
      <c r="D10" s="108" t="s">
        <v>2883</v>
      </c>
      <c r="E10" s="108" t="s">
        <v>2884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14</v>
      </c>
      <c r="D11" s="109" t="s">
        <v>2885</v>
      </c>
      <c r="E11" s="110">
        <f>SUMIFS('Ações InCompany'!O:O,'Ações InCompany'!B:B,2026,'Ações InCompany'!C:C,"Realizado")</f>
        <v>417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9</v>
      </c>
      <c r="D12" s="111" t="s">
        <v>2886</v>
      </c>
      <c r="E12" s="112">
        <f>SUMIFS('Ações InCompany'!P:P,'Ações InCompany'!B:B,2026,'Ações InCompany'!C:C,"Realizado")</f>
        <v>403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2887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2888</v>
      </c>
      <c r="B14" s="114">
        <f>SUM(B11:B13)</f>
        <v>28</v>
      </c>
      <c r="D14" s="113" t="s">
        <v>2889</v>
      </c>
      <c r="E14" s="114">
        <f>SUM(E11:E13)</f>
        <v>1190</v>
      </c>
    </row>
    <row r="30" spans="1:5" ht="17.25" x14ac:dyDescent="0.3">
      <c r="A30" s="278" t="s">
        <v>2890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2891</v>
      </c>
      <c r="C32" s="108" t="s">
        <v>2892</v>
      </c>
      <c r="D32" s="108" t="s">
        <v>2893</v>
      </c>
      <c r="E32" s="108" t="s">
        <v>2894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4</v>
      </c>
      <c r="D33" s="117">
        <f t="shared" ref="D33:D44" si="0">B33+C33</f>
        <v>9</v>
      </c>
      <c r="E33" s="118">
        <f t="shared" ref="E33:E44" si="1">D33/$D$45</f>
        <v>0.21951219512195122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7.3170731707317069E-2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0.12195121951219512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1</v>
      </c>
      <c r="D36" s="119">
        <f t="shared" si="0"/>
        <v>2</v>
      </c>
      <c r="E36" s="120">
        <f t="shared" si="1"/>
        <v>4.878048780487805E-2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4.878048780487805E-2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0.17073170731707318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2</v>
      </c>
      <c r="C39" s="146">
        <f>COUNTIFS('Ações InCompany'!B:B,2026,'Ações InCompany'!C:C,"A realizar",'Ações InCompany'!G:G,A39)</f>
        <v>2</v>
      </c>
      <c r="D39" s="145">
        <f t="shared" si="0"/>
        <v>4</v>
      </c>
      <c r="E39" s="147">
        <f t="shared" si="1"/>
        <v>9.7560975609756101E-2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2.4390243902439025E-2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4</v>
      </c>
      <c r="C41" s="152">
        <f>COUNTIFS('Ações InCompany'!B:B,2026,'Ações InCompany'!C:C,"A realizar",'Ações InCompany'!G:G,A41)</f>
        <v>2</v>
      </c>
      <c r="D41" s="151">
        <f>B41+C41</f>
        <v>6</v>
      </c>
      <c r="E41" s="157">
        <f>D41/$D$45</f>
        <v>0.14634146341463414</v>
      </c>
    </row>
    <row r="42" spans="1:5" ht="24" customHeight="1" x14ac:dyDescent="0.25">
      <c r="A42" s="156" t="s">
        <v>2895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4.878048780487805E-2</v>
      </c>
    </row>
    <row r="44" spans="1:5" ht="24" customHeight="1" x14ac:dyDescent="0.25">
      <c r="A44" s="148" t="s">
        <v>2896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2888</v>
      </c>
      <c r="B45" s="121">
        <f>SUM(B33:B44)</f>
        <v>28</v>
      </c>
      <c r="C45" s="121">
        <f>SUM(C33:C44)</f>
        <v>13</v>
      </c>
      <c r="D45" s="121">
        <f>SUM(D33:D44)</f>
        <v>41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2897</v>
      </c>
      <c r="B1" s="12" t="s">
        <v>2898</v>
      </c>
      <c r="C1" s="13" t="s">
        <v>2899</v>
      </c>
      <c r="D1" s="13" t="s">
        <v>2900</v>
      </c>
      <c r="E1" s="13" t="s">
        <v>2901</v>
      </c>
    </row>
    <row r="2" spans="1:5" ht="18" customHeight="1" x14ac:dyDescent="0.25">
      <c r="A2" s="12" t="s">
        <v>2902</v>
      </c>
      <c r="B2" s="12" t="s">
        <v>2903</v>
      </c>
      <c r="C2" s="12" t="s">
        <v>1728</v>
      </c>
      <c r="D2" s="12" t="s">
        <v>2904</v>
      </c>
      <c r="E2" s="12" t="s">
        <v>2905</v>
      </c>
    </row>
    <row r="3" spans="1:5" ht="18" customHeight="1" x14ac:dyDescent="0.25">
      <c r="A3" s="12" t="s">
        <v>2902</v>
      </c>
      <c r="B3" s="12" t="s">
        <v>2903</v>
      </c>
      <c r="C3" s="14" t="s">
        <v>24</v>
      </c>
      <c r="D3" s="12" t="s">
        <v>2906</v>
      </c>
      <c r="E3" s="12" t="s">
        <v>2907</v>
      </c>
    </row>
    <row r="4" spans="1:5" ht="18" customHeight="1" x14ac:dyDescent="0.25">
      <c r="A4" s="12" t="s">
        <v>2902</v>
      </c>
      <c r="B4" s="12" t="s">
        <v>2903</v>
      </c>
      <c r="C4" s="12" t="s">
        <v>67</v>
      </c>
      <c r="D4" s="12" t="s">
        <v>2904</v>
      </c>
      <c r="E4" s="12" t="s">
        <v>2908</v>
      </c>
    </row>
    <row r="5" spans="1:5" ht="18" customHeight="1" x14ac:dyDescent="0.25">
      <c r="A5" s="12" t="s">
        <v>2902</v>
      </c>
      <c r="B5" s="12" t="s">
        <v>2903</v>
      </c>
      <c r="C5" s="12" t="s">
        <v>71</v>
      </c>
      <c r="D5" s="12" t="s">
        <v>2909</v>
      </c>
      <c r="E5" s="12" t="s">
        <v>2910</v>
      </c>
    </row>
    <row r="6" spans="1:5" ht="18" customHeight="1" x14ac:dyDescent="0.25">
      <c r="A6" s="12" t="s">
        <v>2902</v>
      </c>
      <c r="B6" s="12" t="s">
        <v>2903</v>
      </c>
      <c r="C6" s="12" t="s">
        <v>2725</v>
      </c>
      <c r="D6" s="12" t="s">
        <v>2911</v>
      </c>
      <c r="E6" s="12" t="s">
        <v>2912</v>
      </c>
    </row>
    <row r="7" spans="1:5" ht="18" customHeight="1" x14ac:dyDescent="0.25">
      <c r="A7" s="12" t="s">
        <v>2902</v>
      </c>
      <c r="B7" s="12" t="s">
        <v>2913</v>
      </c>
      <c r="C7" s="12" t="s">
        <v>32</v>
      </c>
      <c r="D7" s="12" t="s">
        <v>2914</v>
      </c>
      <c r="E7" s="12" t="s">
        <v>2915</v>
      </c>
    </row>
    <row r="8" spans="1:5" ht="18" customHeight="1" x14ac:dyDescent="0.25">
      <c r="A8" s="12" t="s">
        <v>2902</v>
      </c>
      <c r="B8" s="12" t="s">
        <v>2913</v>
      </c>
      <c r="C8" s="12" t="s">
        <v>37</v>
      </c>
      <c r="D8" s="12" t="s">
        <v>2916</v>
      </c>
      <c r="E8" s="12" t="s">
        <v>2917</v>
      </c>
    </row>
    <row r="9" spans="1:5" ht="18" customHeight="1" x14ac:dyDescent="0.25">
      <c r="A9" s="12" t="s">
        <v>2902</v>
      </c>
      <c r="B9" s="12" t="s">
        <v>2918</v>
      </c>
      <c r="C9" s="12" t="s">
        <v>456</v>
      </c>
      <c r="D9" s="12" t="s">
        <v>2919</v>
      </c>
      <c r="E9" s="12" t="s">
        <v>2920</v>
      </c>
    </row>
    <row r="10" spans="1:5" ht="18" customHeight="1" x14ac:dyDescent="0.25">
      <c r="A10" s="12" t="s">
        <v>2902</v>
      </c>
      <c r="B10" s="12" t="s">
        <v>2918</v>
      </c>
      <c r="C10" s="12" t="s">
        <v>198</v>
      </c>
      <c r="D10" s="12" t="s">
        <v>23</v>
      </c>
      <c r="E10" s="12" t="s">
        <v>2921</v>
      </c>
    </row>
    <row r="11" spans="1:5" ht="18" customHeight="1" x14ac:dyDescent="0.25">
      <c r="A11" s="12" t="s">
        <v>2902</v>
      </c>
      <c r="B11" s="12" t="s">
        <v>2918</v>
      </c>
      <c r="C11" s="12" t="s">
        <v>363</v>
      </c>
      <c r="D11" s="12" t="s">
        <v>23</v>
      </c>
      <c r="E11" s="12" t="s">
        <v>2922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2923</v>
      </c>
      <c r="B1" s="5" t="s">
        <v>10</v>
      </c>
      <c r="C1" s="15" t="s">
        <v>2924</v>
      </c>
      <c r="D1" s="15" t="s">
        <v>2827</v>
      </c>
    </row>
    <row r="2" spans="1:4" ht="21" customHeight="1" x14ac:dyDescent="0.25">
      <c r="A2" s="259" t="s">
        <v>23</v>
      </c>
      <c r="B2" s="259" t="s">
        <v>34</v>
      </c>
      <c r="C2" s="12" t="s">
        <v>2925</v>
      </c>
      <c r="D2" s="12" t="s">
        <v>2756</v>
      </c>
    </row>
    <row r="3" spans="1:4" ht="21" customHeight="1" x14ac:dyDescent="0.25">
      <c r="A3" s="12" t="s">
        <v>61</v>
      </c>
      <c r="B3" s="259" t="s">
        <v>26</v>
      </c>
      <c r="C3" s="12" t="s">
        <v>2926</v>
      </c>
      <c r="D3" s="12" t="s">
        <v>2748</v>
      </c>
    </row>
    <row r="4" spans="1:4" ht="21" customHeight="1" x14ac:dyDescent="0.25">
      <c r="A4" s="14" t="s">
        <v>80</v>
      </c>
      <c r="B4" s="259" t="s">
        <v>219</v>
      </c>
      <c r="D4" s="12" t="s">
        <v>2741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2897</v>
      </c>
      <c r="B1" s="12" t="s">
        <v>2898</v>
      </c>
      <c r="C1" s="13" t="s">
        <v>2899</v>
      </c>
      <c r="D1" s="13" t="s">
        <v>2900</v>
      </c>
      <c r="E1" s="13" t="s">
        <v>2901</v>
      </c>
    </row>
    <row r="2" spans="1:5" ht="18" customHeight="1" x14ac:dyDescent="0.25">
      <c r="A2" s="12" t="s">
        <v>2927</v>
      </c>
      <c r="B2" s="12" t="s">
        <v>2903</v>
      </c>
      <c r="C2" s="14" t="s">
        <v>24</v>
      </c>
      <c r="D2" s="12" t="s">
        <v>2904</v>
      </c>
      <c r="E2" s="18" t="s">
        <v>2928</v>
      </c>
    </row>
    <row r="3" spans="1:5" ht="18" customHeight="1" x14ac:dyDescent="0.25">
      <c r="A3" s="12" t="s">
        <v>2927</v>
      </c>
      <c r="B3" s="12" t="s">
        <v>2903</v>
      </c>
      <c r="C3" s="12" t="s">
        <v>67</v>
      </c>
      <c r="D3" s="12" t="s">
        <v>2906</v>
      </c>
      <c r="E3" s="12" t="s">
        <v>2929</v>
      </c>
    </row>
    <row r="4" spans="1:5" ht="18" customHeight="1" x14ac:dyDescent="0.25">
      <c r="A4" s="12" t="s">
        <v>2927</v>
      </c>
      <c r="B4" s="12" t="s">
        <v>2903</v>
      </c>
      <c r="C4" s="12" t="s">
        <v>71</v>
      </c>
      <c r="D4" s="12" t="s">
        <v>2909</v>
      </c>
      <c r="E4" s="12" t="s">
        <v>2930</v>
      </c>
    </row>
    <row r="5" spans="1:5" ht="27.75" customHeight="1" x14ac:dyDescent="0.25">
      <c r="A5" s="12" t="s">
        <v>2927</v>
      </c>
      <c r="B5" s="12" t="s">
        <v>2903</v>
      </c>
      <c r="C5" s="12" t="s">
        <v>2688</v>
      </c>
      <c r="D5" s="18" t="s">
        <v>2931</v>
      </c>
      <c r="E5" s="12" t="s">
        <v>2932</v>
      </c>
    </row>
    <row r="6" spans="1:5" ht="18" customHeight="1" x14ac:dyDescent="0.25">
      <c r="A6" s="12" t="s">
        <v>2927</v>
      </c>
      <c r="B6" s="12" t="s">
        <v>2903</v>
      </c>
      <c r="C6" s="12" t="s">
        <v>2725</v>
      </c>
      <c r="D6" s="12" t="s">
        <v>2911</v>
      </c>
      <c r="E6" s="12" t="s">
        <v>2912</v>
      </c>
    </row>
    <row r="7" spans="1:5" ht="18" customHeight="1" x14ac:dyDescent="0.25">
      <c r="A7" s="12" t="s">
        <v>2927</v>
      </c>
      <c r="B7" s="12" t="s">
        <v>2913</v>
      </c>
      <c r="C7" s="12" t="s">
        <v>2709</v>
      </c>
      <c r="D7" s="12" t="s">
        <v>2933</v>
      </c>
      <c r="E7" s="12" t="s">
        <v>2934</v>
      </c>
    </row>
    <row r="8" spans="1:5" ht="18" customHeight="1" x14ac:dyDescent="0.25">
      <c r="A8" s="12" t="s">
        <v>2927</v>
      </c>
      <c r="B8" s="12" t="s">
        <v>2913</v>
      </c>
      <c r="C8" s="12" t="s">
        <v>37</v>
      </c>
      <c r="D8" s="12" t="s">
        <v>2916</v>
      </c>
      <c r="E8" s="12" t="s">
        <v>2917</v>
      </c>
    </row>
    <row r="9" spans="1:5" ht="18" customHeight="1" x14ac:dyDescent="0.25">
      <c r="A9" s="12" t="s">
        <v>2927</v>
      </c>
      <c r="B9" s="12" t="s">
        <v>2913</v>
      </c>
      <c r="C9" s="12" t="s">
        <v>2693</v>
      </c>
      <c r="D9" s="12" t="s">
        <v>2935</v>
      </c>
      <c r="E9" s="18" t="s">
        <v>2936</v>
      </c>
    </row>
    <row r="10" spans="1:5" ht="18" customHeight="1" x14ac:dyDescent="0.25">
      <c r="A10" s="12" t="s">
        <v>2927</v>
      </c>
      <c r="B10" s="12" t="s">
        <v>2937</v>
      </c>
      <c r="C10" s="12" t="s">
        <v>2895</v>
      </c>
      <c r="D10" s="12" t="s">
        <v>2938</v>
      </c>
      <c r="E10" s="18" t="s">
        <v>2939</v>
      </c>
    </row>
    <row r="11" spans="1:5" ht="18" customHeight="1" x14ac:dyDescent="0.25">
      <c r="A11" s="12" t="s">
        <v>2927</v>
      </c>
      <c r="B11" s="12" t="s">
        <v>2937</v>
      </c>
      <c r="C11" s="12" t="s">
        <v>198</v>
      </c>
      <c r="D11" s="12" t="s">
        <v>23</v>
      </c>
      <c r="E11" s="12" t="s">
        <v>2921</v>
      </c>
    </row>
    <row r="12" spans="1:5" ht="18" customHeight="1" x14ac:dyDescent="0.25">
      <c r="A12" s="12" t="s">
        <v>2927</v>
      </c>
      <c r="B12" s="12" t="s">
        <v>2937</v>
      </c>
      <c r="C12" s="12" t="s">
        <v>363</v>
      </c>
      <c r="D12" s="12" t="s">
        <v>23</v>
      </c>
      <c r="E12" s="12" t="s">
        <v>2922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10" activePane="bottomLeft" state="frozen"/>
      <selection pane="bottomLeft" activeCell="A14" sqref="A14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2940</v>
      </c>
      <c r="B1" s="285"/>
      <c r="C1" s="285"/>
      <c r="D1" s="285"/>
      <c r="E1" s="285"/>
      <c r="F1" s="285"/>
    </row>
    <row r="2" spans="1:7" x14ac:dyDescent="0.25">
      <c r="A2" s="286" t="s">
        <v>2941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2830</v>
      </c>
      <c r="C4" s="102" t="s">
        <v>2831</v>
      </c>
      <c r="D4" s="102" t="s">
        <v>2942</v>
      </c>
      <c r="E4" s="102" t="s">
        <v>2832</v>
      </c>
      <c r="F4" s="102" t="s">
        <v>2943</v>
      </c>
    </row>
    <row r="5" spans="1:7" x14ac:dyDescent="0.25">
      <c r="A5" t="str" cm="1">
        <f t="array" ref="A5:A34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2</v>
      </c>
      <c r="G5" s="101">
        <f>IF($A5="","",COUNTIFS('GECC 2026'!G$2:G$200,$A5))</f>
        <v>0</v>
      </c>
    </row>
    <row r="6" spans="1:7" x14ac:dyDescent="0.25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 x14ac:dyDescent="0.25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 x14ac:dyDescent="0.25">
      <c r="A8" t="str">
        <v>Arthur Wú</v>
      </c>
      <c r="B8" s="103">
        <f>IF($A8="","",SUMIFS('GECC 2026'!H$2:H$200,'GECC 2026'!F$2:F$200,$A8))</f>
        <v>33</v>
      </c>
      <c r="C8" s="103">
        <f>IF($A8="","",SUMIFS('GECC 2026'!I$2:I$200,'GECC 2026'!F$2:F$200,$A8))</f>
        <v>10.199999999999999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43.2</v>
      </c>
      <c r="F8" s="101">
        <f>IF($A8="","",COUNTIFS('GECC 2026'!F$2:F$200,$A8))</f>
        <v>5</v>
      </c>
    </row>
    <row r="9" spans="1:7" x14ac:dyDescent="0.25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 x14ac:dyDescent="0.25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 x14ac:dyDescent="0.25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 x14ac:dyDescent="0.25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 x14ac:dyDescent="0.25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 x14ac:dyDescent="0.25">
      <c r="A15" t="str">
        <v>Fernanda Viana de Souza</v>
      </c>
      <c r="B15" s="103">
        <f>IF($A15="","",SUMIFS('GECC 2026'!H$2:H$200,'GECC 2026'!F$2:F$200,$A15))</f>
        <v>15</v>
      </c>
      <c r="C15" s="103">
        <f>IF($A15="","",SUMIFS('GECC 2026'!I$2:I$200,'GECC 2026'!F$2:F$200,$A15))</f>
        <v>3.09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18.09</v>
      </c>
      <c r="F15" s="101">
        <f>IF($A15="","",COUNTIFS('GECC 2026'!F$2:F$200,$A15))</f>
        <v>4</v>
      </c>
    </row>
    <row r="16" spans="1:7" x14ac:dyDescent="0.25">
      <c r="A16" t="str">
        <v>Flávio José Fonseca de Souza</v>
      </c>
      <c r="B16" s="103">
        <f>IF($A16="","",SUMIFS('GECC 2026'!H$2:H$200,'GECC 2026'!F$2:F$200,$A16))</f>
        <v>8</v>
      </c>
      <c r="C16" s="103">
        <f>IF($A16="","",SUMIFS('GECC 2026'!I$2:I$200,'GECC 2026'!F$2:F$200,$A16))</f>
        <v>2.4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10.4</v>
      </c>
      <c r="F16" s="101">
        <f>IF($A16="","",COUNTIFS('GECC 2026'!F$2:F$200,$A16))</f>
        <v>1</v>
      </c>
    </row>
    <row r="17" spans="1:6" x14ac:dyDescent="0.25">
      <c r="A17" t="str">
        <v>Gabriel Heller</v>
      </c>
      <c r="B17" s="103">
        <f>IF($A17="","",SUMIFS('GECC 2026'!H$2:H$200,'GECC 2026'!F$2:F$200,$A17))</f>
        <v>36</v>
      </c>
      <c r="C17" s="103">
        <f>IF($A17="","",SUMIFS('GECC 2026'!I$2:I$200,'GECC 2026'!F$2:F$200,$A17))</f>
        <v>1.2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37.200000000000003</v>
      </c>
      <c r="F17" s="101">
        <f>IF($A17="","",COUNTIFS('GECC 2026'!F$2:F$200,$A17))</f>
        <v>2</v>
      </c>
    </row>
    <row r="18" spans="1:6" x14ac:dyDescent="0.25">
      <c r="A18" t="str">
        <v>Gustavo Takahashi</v>
      </c>
      <c r="B18" s="103">
        <f>IF($A18="","",SUMIFS('GECC 2026'!H$2:H$200,'GECC 2026'!F$2:F$200,$A18))</f>
        <v>25</v>
      </c>
      <c r="C18" s="103">
        <f>IF($A18="","",SUMIFS('GECC 2026'!I$2:I$200,'GECC 2026'!F$2:F$200,$A18))</f>
        <v>0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25</v>
      </c>
      <c r="F18" s="101">
        <f>IF($A18="","",COUNTIFS('GECC 2026'!F$2:F$200,$A18))</f>
        <v>4</v>
      </c>
    </row>
    <row r="19" spans="1:6" x14ac:dyDescent="0.25">
      <c r="A19" t="str">
        <v>Hamilton de Jesus Lopes Neto</v>
      </c>
      <c r="B19" s="103">
        <f>IF($A19="","",SUMIFS('GECC 2026'!H$2:H$200,'GECC 2026'!F$2:F$200,$A19))</f>
        <v>12</v>
      </c>
      <c r="C19" s="103">
        <f>IF($A19="","",SUMIFS('GECC 2026'!I$2:I$200,'GECC 2026'!F$2:F$200,$A19))</f>
        <v>1.2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13.2</v>
      </c>
      <c r="F19" s="101">
        <f>IF($A19="","",COUNTIFS('GECC 2026'!F$2:F$200,$A19))</f>
        <v>1</v>
      </c>
    </row>
    <row r="20" spans="1:6" x14ac:dyDescent="0.25">
      <c r="A20" t="str">
        <v>Indio Artiaga do Brasil Rabelo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3.6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15.6</v>
      </c>
      <c r="F20" s="101">
        <f>IF($A20="","",COUNTIFS('GECC 2026'!F$2:F$200,$A20))</f>
        <v>1</v>
      </c>
    </row>
    <row r="21" spans="1:6" x14ac:dyDescent="0.25">
      <c r="A21" t="str">
        <v>Leonardo de Melo</v>
      </c>
      <c r="B21" s="103">
        <f>IF($A21="","",SUMIFS('GECC 2026'!H$2:H$200,'GECC 2026'!F$2:F$200,$A21))</f>
        <v>0</v>
      </c>
      <c r="C21" s="103">
        <f>IF($A21="","",SUMIFS('GECC 2026'!I$2:I$200,'GECC 2026'!F$2:F$200,$A21))</f>
        <v>0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0</v>
      </c>
      <c r="F21" s="101">
        <f>IF($A21="","",COUNTIFS('GECC 2026'!F$2:F$200,$A21))</f>
        <v>1</v>
      </c>
    </row>
    <row r="22" spans="1:6" x14ac:dyDescent="0.25">
      <c r="A22" t="str">
        <v>Leonardo José Alves Leal Neri</v>
      </c>
      <c r="B22" s="103">
        <f>IF($A22="","",SUMIFS('GECC 2026'!H$2:H$200,'GECC 2026'!F$2:F$200,$A22))</f>
        <v>40</v>
      </c>
      <c r="C22" s="103">
        <f>IF($A22="","",SUMIFS('GECC 2026'!I$2:I$200,'GECC 2026'!F$2:F$200,$A22))</f>
        <v>12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52</v>
      </c>
      <c r="F22" s="101">
        <f>IF($A22="","",COUNTIFS('GECC 2026'!F$2:F$200,$A22))</f>
        <v>2</v>
      </c>
    </row>
    <row r="23" spans="1:6" x14ac:dyDescent="0.25">
      <c r="A23" t="str">
        <v>Luciana Alvim</v>
      </c>
      <c r="B23" s="103">
        <f>IF($A23="","",SUMIFS('GECC 2026'!H$2:H$200,'GECC 2026'!F$2:F$200,$A23))</f>
        <v>60</v>
      </c>
      <c r="C23" s="103">
        <f>IF($A23="","",SUMIFS('GECC 2026'!I$2:I$200,'GECC 2026'!F$2:F$200,$A23))</f>
        <v>94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154</v>
      </c>
      <c r="F23" s="101">
        <f>IF($A23="","",COUNTIFS('GECC 2026'!F$2:F$200,$A23))</f>
        <v>6</v>
      </c>
    </row>
    <row r="24" spans="1:6" x14ac:dyDescent="0.25">
      <c r="A24" t="str">
        <v>Marcelo Bálbio Moraes</v>
      </c>
      <c r="B24" s="103">
        <f>IF($A24="","",SUMIFS('GECC 2026'!H$2:H$200,'GECC 2026'!F$2:F$200,$A24))</f>
        <v>0</v>
      </c>
      <c r="C24" s="103">
        <f>IF($A24="","",SUMIFS('GECC 2026'!I$2:I$200,'GECC 2026'!F$2:F$200,$A24))</f>
        <v>0</v>
      </c>
      <c r="D24" s="256">
        <f>IF($A24="","",SUMIFS('GECC 2026'!$AE$3:$AE$32,'GECC 2026'!$AD$3:$AD$32,$A24))</f>
        <v>16</v>
      </c>
      <c r="E24" s="241">
        <f>IF($A24="","",SUMIFS('GECC 2026'!J$2:J$200,'GECC 2026'!F$2:F$200,$A24)+SUMIFS('GECC 2026'!$AE$3:$AE$32,'GECC 2026'!$AD$3:$AD$32,$A24))</f>
        <v>16</v>
      </c>
      <c r="F24" s="101">
        <f>IF($A24="","",COUNTIFS('GECC 2026'!F$2:F$200,$A24))</f>
        <v>0</v>
      </c>
    </row>
    <row r="25" spans="1:6" x14ac:dyDescent="0.25">
      <c r="A25" t="str">
        <v>Mauri Siqueira Montessi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 x14ac:dyDescent="0.25">
      <c r="A26" t="str">
        <v>Michel Martins de Morais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 x14ac:dyDescent="0.25">
      <c r="A27" t="str">
        <v>Paulo José Góes Daltro</v>
      </c>
      <c r="B27" s="103">
        <f>IF($A27="","",SUMIFS('GECC 2026'!H$2:H$200,'GECC 2026'!F$2:F$200,$A27))</f>
        <v>16</v>
      </c>
      <c r="C27" s="103">
        <f>IF($A27="","",SUMIFS('GECC 2026'!I$2:I$200,'GECC 2026'!F$2:F$200,$A27))</f>
        <v>4.8</v>
      </c>
      <c r="D27" s="256">
        <f>IF($A27="","",SUMIFS('GECC 2026'!$AE$3:$AE$32,'GECC 2026'!$AD$3:$AD$32,$A27))</f>
        <v>0</v>
      </c>
      <c r="E27" s="241">
        <f>IF($A27="","",SUMIFS('GECC 2026'!J$2:J$200,'GECC 2026'!F$2:F$200,$A27)+SUMIFS('GECC 2026'!$AE$3:$AE$32,'GECC 2026'!$AD$3:$AD$32,$A27))</f>
        <v>20.8</v>
      </c>
      <c r="F27" s="101">
        <f>IF($A27="","",COUNTIFS('GECC 2026'!F$2:F$200,$A27))</f>
        <v>3</v>
      </c>
    </row>
    <row r="28" spans="1:6" x14ac:dyDescent="0.25">
      <c r="A28" t="str">
        <v>Priscila Nolasco</v>
      </c>
      <c r="B28" s="103">
        <f>IF($A28="","",SUMIFS('GECC 2026'!H$2:H$200,'GECC 2026'!F$2:F$200,$A28))</f>
        <v>12</v>
      </c>
      <c r="C28" s="103">
        <f>IF($A28="","",SUMIFS('GECC 2026'!I$2:I$200,'GECC 2026'!F$2:F$200,$A28))</f>
        <v>2.6399999999999997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14.64</v>
      </c>
      <c r="F28" s="101">
        <f>IF($A28="","",COUNTIFS('GECC 2026'!F$2:F$200,$A28))</f>
        <v>3</v>
      </c>
    </row>
    <row r="29" spans="1:6" x14ac:dyDescent="0.25">
      <c r="A29" t="str">
        <v>Reinaldo Alencar</v>
      </c>
      <c r="B29" s="103">
        <f>IF($A29="","",SUMIFS('GECC 2026'!H$2:H$200,'GECC 2026'!F$2:F$200,$A29))</f>
        <v>48</v>
      </c>
      <c r="C29" s="103">
        <f>IF($A29="","",SUMIFS('GECC 2026'!I$2:I$200,'GECC 2026'!F$2:F$200,$A29))</f>
        <v>7.1999999999999993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55.2</v>
      </c>
      <c r="F29" s="101">
        <f>IF($A29="","",COUNTIFS('GECC 2026'!F$2:F$200,$A29))</f>
        <v>3</v>
      </c>
    </row>
    <row r="30" spans="1:6" x14ac:dyDescent="0.25">
      <c r="A30" t="str">
        <v>Rogério Ribeiro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 x14ac:dyDescent="0.25">
      <c r="A31" t="str">
        <v>Rômulo Miranda Alvim</v>
      </c>
      <c r="B31" s="103">
        <f>IF($A31="","",SUMIFS('GECC 2026'!H$2:H$200,'GECC 2026'!F$2:F$200,$A31))</f>
        <v>24</v>
      </c>
      <c r="C31" s="103">
        <f>IF($A31="","",SUMIFS('GECC 2026'!I$2:I$200,'GECC 2026'!F$2:F$200,$A31))</f>
        <v>3.6</v>
      </c>
      <c r="D31" s="256">
        <f>IF($A31="","",SUMIFS('GECC 2026'!$AE$3:$AE$32,'GECC 2026'!$AD$3:$AD$32,$A31))</f>
        <v>16</v>
      </c>
      <c r="E31" s="241">
        <f>IF($A31="","",SUMIFS('GECC 2026'!J$2:J$200,'GECC 2026'!F$2:F$200,$A31)+SUMIFS('GECC 2026'!$AE$3:$AE$32,'GECC 2026'!$AD$3:$AD$32,$A31))</f>
        <v>43.6</v>
      </c>
      <c r="F31" s="101">
        <f>IF($A31="","",COUNTIFS('GECC 2026'!F$2:F$200,$A31))</f>
        <v>2</v>
      </c>
    </row>
    <row r="32" spans="1:6" x14ac:dyDescent="0.25">
      <c r="A32" t="str">
        <v>Servidores, colaboradores e estagiários do TCDF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6">
        <f>IF($A32="","",SUMIFS('GECC 2026'!$AE$3:$AE$32,'GECC 2026'!$AD$3:$AD$32,$A32))</f>
        <v>0</v>
      </c>
      <c r="E32" s="241">
        <f>IF($A32="","",SUMIFS('GECC 2026'!J$2:J$200,'GECC 2026'!F$2:F$200,$A32)+SUMIFS('GECC 2026'!$AE$3:$AE$32,'GECC 2026'!$AD$3:$AD$32,$A32))</f>
        <v>0</v>
      </c>
      <c r="F32" s="101">
        <f>IF($A32="","",COUNTIFS('GECC 2026'!F$2:F$200,$A32))</f>
        <v>1</v>
      </c>
    </row>
    <row r="33" spans="1:6" x14ac:dyDescent="0.25">
      <c r="A33" t="str">
        <v>Tarsila Firmino Ely</v>
      </c>
      <c r="B33" s="103">
        <f>IF($A33="","",SUMIFS('GECC 2026'!H$2:H$200,'GECC 2026'!F$2:F$200,$A33))</f>
        <v>56</v>
      </c>
      <c r="C33" s="103">
        <f>IF($A33="","",SUMIFS('GECC 2026'!I$2:I$200,'GECC 2026'!F$2:F$200,$A33))</f>
        <v>96.4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152.4</v>
      </c>
      <c r="F33" s="101">
        <f>IF($A33="","",COUNTIFS('GECC 2026'!F$2:F$200,$A33))</f>
        <v>5</v>
      </c>
    </row>
    <row r="34" spans="1:6" x14ac:dyDescent="0.25">
      <c r="A34" t="str">
        <v>Túllio Herbeth Teixeira Moraes</v>
      </c>
      <c r="B34" s="103">
        <f>IF($A34="","",SUMIFS('GECC 2026'!H$2:H$200,'GECC 2026'!F$2:F$200,$A34))</f>
        <v>3</v>
      </c>
      <c r="C34" s="103">
        <f>IF($A34="","",SUMIFS('GECC 2026'!I$2:I$200,'GECC 2026'!F$2:F$200,$A34))</f>
        <v>0.44999999999999996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3.45</v>
      </c>
      <c r="F34" s="101">
        <f>IF($A34="","",COUNTIFS('GECC 2026'!F$2:F$200,$A34))</f>
        <v>1</v>
      </c>
    </row>
    <row r="35" spans="1:6" x14ac:dyDescent="0.25">
      <c r="B35" s="103" t="str">
        <f>IF($A35="","",SUMIFS('GECC 2026'!H$2:H$200,'GECC 2026'!F$2:F$200,$A35))</f>
        <v/>
      </c>
      <c r="C35" s="103" t="str">
        <f>IF($A35="","",SUMIFS('GECC 2026'!I$2:I$200,'GECC 2026'!F$2:F$200,$A35))</f>
        <v/>
      </c>
      <c r="D35" s="256" t="str">
        <f>IF($A35="","",SUMIFS('GECC 2026'!$AE$3:$AE$32,'GECC 2026'!$AD$3:$AD$32,$A35))</f>
        <v/>
      </c>
      <c r="E35" s="241" t="str">
        <f>IF($A35="","",SUMIFS('GECC 2026'!J$2:J$200,'GECC 2026'!F$2:F$200,$A35)+SUMIFS('GECC 2026'!$AE$3:$AE$32,'GECC 2026'!$AD$3:$AD$32,$A35))</f>
        <v/>
      </c>
      <c r="F35" s="101" t="str">
        <f>IF($A35="","",COUNTIFS('GECC 2026'!F$2:F$200,$A35))</f>
        <v/>
      </c>
    </row>
    <row r="36" spans="1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2889</v>
      </c>
      <c r="B105" s="243">
        <f>SUM(B5:B100)</f>
        <v>584</v>
      </c>
      <c r="C105" s="243">
        <f>SUM(C5:C100)</f>
        <v>275.89999999999998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69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2944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2945</v>
      </c>
    </row>
    <row r="4" spans="1:8" ht="21.95" customHeight="1" x14ac:dyDescent="0.25">
      <c r="A4" s="288" t="s">
        <v>2946</v>
      </c>
      <c r="B4" s="289"/>
      <c r="D4" s="288" t="s">
        <v>2947</v>
      </c>
      <c r="E4" s="289"/>
      <c r="G4" s="288" t="s">
        <v>2948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2949</v>
      </c>
      <c r="B7" s="143" t="s">
        <v>2950</v>
      </c>
      <c r="C7" s="143" t="s">
        <v>1</v>
      </c>
      <c r="D7" s="143" t="s">
        <v>2951</v>
      </c>
      <c r="E7" s="143" t="s">
        <v>2952</v>
      </c>
      <c r="F7" s="143" t="s">
        <v>2827</v>
      </c>
      <c r="G7" s="143" t="s">
        <v>5</v>
      </c>
      <c r="H7" s="143" t="s">
        <v>2953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46286</v>
      </c>
      <c r="C19" s="232">
        <v>2026</v>
      </c>
      <c r="D19" s="234" t="str">
        <v>Maratona Temática - Obras Públicas</v>
      </c>
      <c r="E19" s="232" t="str">
        <v>21 e 22/09/2026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2026-06-16T20:20:49Z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