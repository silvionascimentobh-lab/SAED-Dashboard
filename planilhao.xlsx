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70" documentId="13_ncr:1_{C887EC22-7CD1-4717-84BE-7303F42C5C0A}" xr6:coauthVersionLast="47" xr6:coauthVersionMax="47" xr10:uidLastSave="{56A22FF4-A15C-4859-A755-F5E74EACC5ED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<sst xmlns="http://schemas.openxmlformats.org/spreadsheetml/2006/main" count="6574" uniqueCount="2978">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</sst>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F701" activePane="bottomLeft" state="frozen"/>
      <selection pane="bottomLeft" activeCell="O705" sqref="O705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/>
      <c r="L706" s="223"/>
      <c r="M706" s="214"/>
      <c r="N706" s="225"/>
      <c r="O706" s="224"/>
      <c r="P706" s="224"/>
      <c r="Q706" s="224"/>
      <c r="R706" s="224" t="str">
        <f t="shared" si="14"/>
        <v/>
      </c>
      <c r="S706" s="218"/>
      <c r="T706" s="217"/>
    </row>
    <row r="707" spans="1:20" ht="23.25" customHeight="1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/>
      <c r="L707" s="223"/>
      <c r="M707" s="214"/>
      <c r="N707" s="215"/>
      <c r="O707" s="216"/>
      <c r="P707" s="216"/>
      <c r="Q707" s="216"/>
      <c r="R707" s="216" t="str">
        <f t="shared" si="14"/>
        <v/>
      </c>
      <c r="S707" s="209"/>
      <c r="T707" s="208"/>
    </row>
    <row r="708" spans="1:20" ht="23.25" customHeight="1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/>
      <c r="L708" s="223"/>
      <c r="M708" s="214"/>
      <c r="N708" s="225"/>
      <c r="O708" s="224"/>
      <c r="P708" s="224"/>
      <c r="Q708" s="224"/>
      <c r="R708" s="224" t="str">
        <f t="shared" si="14"/>
        <v/>
      </c>
      <c r="S708" s="218"/>
      <c r="T708" s="217"/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2838</v>
      </c>
      <c r="C1" s="96" t="s">
        <v>2839</v>
      </c>
      <c r="D1" s="96" t="s">
        <v>4</v>
      </c>
      <c r="E1" s="96" t="s">
        <v>2840</v>
      </c>
      <c r="F1" s="96" t="s">
        <v>19</v>
      </c>
      <c r="G1" s="96" t="s">
        <v>2841</v>
      </c>
      <c r="H1" s="96" t="s">
        <v>2842</v>
      </c>
      <c r="I1" s="96" t="s">
        <v>2843</v>
      </c>
      <c r="J1" s="96" t="s">
        <v>2844</v>
      </c>
      <c r="L1" s="129" t="s">
        <v>2845</v>
      </c>
      <c r="M1" s="100">
        <v>2026</v>
      </c>
      <c r="U1" s="162" t="s">
        <v>2846</v>
      </c>
      <c r="V1" s="161"/>
      <c r="X1" s="159" t="s">
        <v>2847</v>
      </c>
      <c r="Y1" s="107"/>
      <c r="Z1" s="107"/>
      <c r="AA1" s="107"/>
      <c r="AC1" s="253" t="s">
        <v>2848</v>
      </c>
    </row>
    <row r="2" spans="1:31">
      <c r="A2" s="98" cm="1">
        <f t="array" ref="A2:J8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2838</v>
      </c>
      <c r="Y2" s="160" t="s">
        <v>19</v>
      </c>
      <c r="Z2" s="160" t="s">
        <v>2849</v>
      </c>
      <c r="AA2" s="160" t="s">
        <v>2850</v>
      </c>
      <c r="AC2" s="254" t="s">
        <v>1</v>
      </c>
      <c r="AD2" s="254" t="s">
        <v>2851</v>
      </c>
      <c r="AE2" s="254" t="s">
        <v>2852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2853</v>
      </c>
      <c r="M3" s="19" t="s">
        <v>2854</v>
      </c>
      <c r="N3" s="19" t="s">
        <v>2855</v>
      </c>
      <c r="O3" s="19" t="s">
        <v>2856</v>
      </c>
      <c r="P3" s="19" t="s">
        <v>2857</v>
      </c>
      <c r="Q3" s="19" t="s">
        <v>2858</v>
      </c>
      <c r="R3" s="19" t="s">
        <v>2859</v>
      </c>
      <c r="S3" s="19" t="s">
        <v>2860</v>
      </c>
      <c r="T3" s="19" t="s">
        <v>2861</v>
      </c>
      <c r="X3" t="s">
        <v>2862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1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2">_xlfn.VSTACK(0,_xlfn._xlws.FILTER(S4:S200,S4:S200&lt;&gt;""))</f>
        <v>0</v>
      </c>
      <c r="X4" t="s">
        <v>2863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2864</v>
      </c>
      <c r="Y5" t="s">
        <v>2713</v>
      </c>
      <c r="Z5">
        <v>1</v>
      </c>
      <c r="AA5">
        <v>0.6</v>
      </c>
      <c r="AC5" s="248">
        <v>2026</v>
      </c>
      <c r="AD5" s="95" t="s">
        <v>2865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2864</v>
      </c>
      <c r="Y6" t="s">
        <v>2866</v>
      </c>
      <c r="Z6">
        <v>1</v>
      </c>
      <c r="AA6">
        <v>0</v>
      </c>
      <c r="AC6" s="248">
        <v>2026</v>
      </c>
      <c r="AD6" s="95" t="s">
        <v>2867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2868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2869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2869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2869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2869</v>
      </c>
      <c r="Y11" s="95" t="s">
        <v>2870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2869</v>
      </c>
      <c r="Y12" s="95" t="s">
        <v>2871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2872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2872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2872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2872</v>
      </c>
      <c r="Y16" s="95" t="s">
        <v>2870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2872</v>
      </c>
      <c r="Y17" s="95" t="s">
        <v>2871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2873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2873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2873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2873</v>
      </c>
      <c r="Y21" s="95" t="s">
        <v>2870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2873</v>
      </c>
      <c r="Y22" s="95" t="s">
        <v>2871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2874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2874</v>
      </c>
      <c r="Y24" s="95" t="s">
        <v>2866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2875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2875</v>
      </c>
      <c r="Y26" s="95" t="s">
        <v>2876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2877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2877</v>
      </c>
      <c r="Y28" s="95" t="s">
        <v>2866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2878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2878</v>
      </c>
      <c r="Y30" s="95" t="s">
        <v>2866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2879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2880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2880</v>
      </c>
      <c r="Y33" t="s">
        <v>2881</v>
      </c>
      <c r="Z33">
        <v>4</v>
      </c>
      <c r="AA33">
        <v>0.6</v>
      </c>
      <c r="AC33" s="250"/>
      <c r="AD33" s="251" t="s">
        <v>2882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2880</v>
      </c>
      <c r="Y34" t="s">
        <v>2883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2880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2880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2884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2884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2885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2886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2887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T42">
        <v>86</v>
      </c>
      <c r="X42" t="s">
        <v>2887</v>
      </c>
      <c r="Y42" t="s">
        <v>2888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2889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2889</v>
      </c>
      <c r="Y44" s="95" t="s">
        <v>2866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2890</v>
      </c>
      <c r="Y45" t="s">
        <v>2891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2890</v>
      </c>
      <c r="Y46" t="s">
        <v>2892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2890</v>
      </c>
      <c r="Y47" t="s">
        <v>2893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2890</v>
      </c>
      <c r="Y48" t="s">
        <v>2894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2890</v>
      </c>
      <c r="Y49" t="s">
        <v>2895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2890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2890</v>
      </c>
      <c r="Y51" t="s">
        <v>2896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2890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2890</v>
      </c>
      <c r="Y53" t="s">
        <v>2897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2890</v>
      </c>
      <c r="Y54" t="s">
        <v>2898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2899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2900</v>
      </c>
      <c r="B4" s="280"/>
      <c r="D4" s="281" t="s">
        <v>2901</v>
      </c>
      <c r="E4" s="282"/>
      <c r="G4" s="125" t="s">
        <v>2902</v>
      </c>
    </row>
    <row r="5" spans="1:7" ht="54.95" customHeight="1" thickBot="1">
      <c r="A5" s="115">
        <f>COUNTIF('Ações InCompany'!B:B,2026)</f>
        <v>49</v>
      </c>
      <c r="B5" s="116" t="s">
        <v>2903</v>
      </c>
      <c r="D5" s="123">
        <f>COUNTIFS('Ações InCompany'!B:B,2026,'Ações InCompany'!C:C,"Realizado")</f>
        <v>32</v>
      </c>
      <c r="E5" s="124" t="s">
        <v>2903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2904</v>
      </c>
      <c r="B8" s="277"/>
      <c r="D8" s="277" t="s">
        <v>2905</v>
      </c>
      <c r="E8" s="277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2906</v>
      </c>
      <c r="D10" s="108" t="s">
        <v>2907</v>
      </c>
      <c r="E10" s="108" t="s">
        <v>2908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2909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2910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2911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2912</v>
      </c>
      <c r="B14" s="114">
        <f>SUM(B11:B13)</f>
        <v>32</v>
      </c>
      <c r="D14" s="113" t="s">
        <v>2913</v>
      </c>
      <c r="E14" s="114">
        <f>SUM(E11:E13)</f>
        <v>1278</v>
      </c>
    </row>
    <row r="30" spans="1:5" ht="17.25">
      <c r="A30" s="277" t="s">
        <v>2914</v>
      </c>
      <c r="B30" s="277"/>
      <c r="C30" s="277"/>
      <c r="D30" s="277"/>
      <c r="E30" s="277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2915</v>
      </c>
      <c r="C32" s="108" t="s">
        <v>2916</v>
      </c>
      <c r="D32" s="108" t="s">
        <v>2917</v>
      </c>
      <c r="E32" s="108" t="s">
        <v>2918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0.22727272727272727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3</v>
      </c>
      <c r="D38" s="119">
        <f t="shared" si="0"/>
        <v>8</v>
      </c>
      <c r="E38" s="120">
        <f t="shared" si="1"/>
        <v>0.18181818181818182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2919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2920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2912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2926</v>
      </c>
      <c r="B2" s="12" t="s">
        <v>2927</v>
      </c>
      <c r="C2" s="12" t="s">
        <v>1729</v>
      </c>
      <c r="D2" s="12" t="s">
        <v>2928</v>
      </c>
      <c r="E2" s="12" t="s">
        <v>2929</v>
      </c>
    </row>
    <row r="3" spans="1:5" ht="18" customHeight="1">
      <c r="A3" s="12" t="s">
        <v>2926</v>
      </c>
      <c r="B3" s="12" t="s">
        <v>2927</v>
      </c>
      <c r="C3" s="14" t="s">
        <v>24</v>
      </c>
      <c r="D3" s="12" t="s">
        <v>2930</v>
      </c>
      <c r="E3" s="12" t="s">
        <v>2931</v>
      </c>
    </row>
    <row r="4" spans="1:5" ht="18" customHeight="1">
      <c r="A4" s="12" t="s">
        <v>2926</v>
      </c>
      <c r="B4" s="12" t="s">
        <v>2927</v>
      </c>
      <c r="C4" s="12" t="s">
        <v>68</v>
      </c>
      <c r="D4" s="12" t="s">
        <v>2928</v>
      </c>
      <c r="E4" s="12" t="s">
        <v>2932</v>
      </c>
    </row>
    <row r="5" spans="1:5" ht="18" customHeight="1">
      <c r="A5" s="12" t="s">
        <v>2926</v>
      </c>
      <c r="B5" s="12" t="s">
        <v>2927</v>
      </c>
      <c r="C5" s="12" t="s">
        <v>72</v>
      </c>
      <c r="D5" s="12" t="s">
        <v>2933</v>
      </c>
      <c r="E5" s="12" t="s">
        <v>2934</v>
      </c>
    </row>
    <row r="6" spans="1:5" ht="18" customHeight="1">
      <c r="A6" s="12" t="s">
        <v>2926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2926</v>
      </c>
      <c r="B7" s="12" t="s">
        <v>2937</v>
      </c>
      <c r="C7" s="12" t="s">
        <v>33</v>
      </c>
      <c r="D7" s="12" t="s">
        <v>2938</v>
      </c>
      <c r="E7" s="12" t="s">
        <v>2939</v>
      </c>
    </row>
    <row r="8" spans="1:5" ht="18" customHeight="1">
      <c r="A8" s="12" t="s">
        <v>2926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2926</v>
      </c>
      <c r="B9" s="12" t="s">
        <v>2942</v>
      </c>
      <c r="C9" s="12" t="s">
        <v>457</v>
      </c>
      <c r="D9" s="12" t="s">
        <v>2943</v>
      </c>
      <c r="E9" s="12" t="s">
        <v>2944</v>
      </c>
    </row>
    <row r="10" spans="1:5" ht="18" customHeight="1">
      <c r="A10" s="12" t="s">
        <v>2926</v>
      </c>
      <c r="B10" s="12" t="s">
        <v>2942</v>
      </c>
      <c r="C10" s="12" t="s">
        <v>199</v>
      </c>
      <c r="D10" s="12" t="s">
        <v>23</v>
      </c>
      <c r="E10" s="12" t="s">
        <v>2945</v>
      </c>
    </row>
    <row r="11" spans="1:5" ht="18" customHeight="1">
      <c r="A11" s="12" t="s">
        <v>2926</v>
      </c>
      <c r="B11" s="12" t="s">
        <v>2942</v>
      </c>
      <c r="C11" s="12" t="s">
        <v>364</v>
      </c>
      <c r="D11" s="12" t="s">
        <v>23</v>
      </c>
      <c r="E11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2947</v>
      </c>
      <c r="B1" s="5" t="s">
        <v>10</v>
      </c>
      <c r="C1" s="15" t="s">
        <v>2948</v>
      </c>
      <c r="D1" s="15" t="s">
        <v>2839</v>
      </c>
    </row>
    <row r="2" spans="1:4" ht="21" customHeight="1">
      <c r="A2" s="258" t="s">
        <v>23</v>
      </c>
      <c r="B2" s="258" t="s">
        <v>35</v>
      </c>
      <c r="C2" s="12" t="s">
        <v>2949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2950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2951</v>
      </c>
      <c r="B2" s="12" t="s">
        <v>2927</v>
      </c>
      <c r="C2" s="14" t="s">
        <v>24</v>
      </c>
      <c r="D2" s="12" t="s">
        <v>2928</v>
      </c>
      <c r="E2" s="18" t="s">
        <v>2952</v>
      </c>
    </row>
    <row r="3" spans="1:5" ht="18" customHeight="1">
      <c r="A3" s="12" t="s">
        <v>2951</v>
      </c>
      <c r="B3" s="12" t="s">
        <v>2927</v>
      </c>
      <c r="C3" s="12" t="s">
        <v>68</v>
      </c>
      <c r="D3" s="12" t="s">
        <v>2930</v>
      </c>
      <c r="E3" s="12" t="s">
        <v>2953</v>
      </c>
    </row>
    <row r="4" spans="1:5" ht="18" customHeight="1">
      <c r="A4" s="12" t="s">
        <v>2951</v>
      </c>
      <c r="B4" s="12" t="s">
        <v>2927</v>
      </c>
      <c r="C4" s="12" t="s">
        <v>72</v>
      </c>
      <c r="D4" s="12" t="s">
        <v>2933</v>
      </c>
      <c r="E4" s="12" t="s">
        <v>2954</v>
      </c>
    </row>
    <row r="5" spans="1:5" ht="27.75" customHeight="1">
      <c r="A5" s="12" t="s">
        <v>2951</v>
      </c>
      <c r="B5" s="12" t="s">
        <v>2927</v>
      </c>
      <c r="C5" s="12" t="s">
        <v>2690</v>
      </c>
      <c r="D5" s="18" t="s">
        <v>2955</v>
      </c>
      <c r="E5" s="12" t="s">
        <v>2956</v>
      </c>
    </row>
    <row r="6" spans="1:5" ht="18" customHeight="1">
      <c r="A6" s="12" t="s">
        <v>2951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2951</v>
      </c>
      <c r="B7" s="12" t="s">
        <v>2937</v>
      </c>
      <c r="C7" s="12" t="s">
        <v>2711</v>
      </c>
      <c r="D7" s="12" t="s">
        <v>2957</v>
      </c>
      <c r="E7" s="12" t="s">
        <v>2958</v>
      </c>
    </row>
    <row r="8" spans="1:5" ht="18" customHeight="1">
      <c r="A8" s="12" t="s">
        <v>2951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2951</v>
      </c>
      <c r="B9" s="12" t="s">
        <v>2937</v>
      </c>
      <c r="C9" s="12" t="s">
        <v>2695</v>
      </c>
      <c r="D9" s="12" t="s">
        <v>2959</v>
      </c>
      <c r="E9" s="18" t="s">
        <v>2960</v>
      </c>
    </row>
    <row r="10" spans="1:5" ht="18" customHeight="1">
      <c r="A10" s="12" t="s">
        <v>2951</v>
      </c>
      <c r="B10" s="12" t="s">
        <v>2961</v>
      </c>
      <c r="C10" s="12" t="s">
        <v>2919</v>
      </c>
      <c r="D10" s="12" t="s">
        <v>2962</v>
      </c>
      <c r="E10" s="18" t="s">
        <v>2963</v>
      </c>
    </row>
    <row r="11" spans="1:5" ht="18" customHeight="1">
      <c r="A11" s="12" t="s">
        <v>2951</v>
      </c>
      <c r="B11" s="12" t="s">
        <v>2961</v>
      </c>
      <c r="C11" s="12" t="s">
        <v>199</v>
      </c>
      <c r="D11" s="12" t="s">
        <v>23</v>
      </c>
      <c r="E11" s="12" t="s">
        <v>2945</v>
      </c>
    </row>
    <row r="12" spans="1:5" ht="18" customHeight="1">
      <c r="A12" s="12" t="s">
        <v>2951</v>
      </c>
      <c r="B12" s="12" t="s">
        <v>2961</v>
      </c>
      <c r="C12" s="12" t="s">
        <v>364</v>
      </c>
      <c r="D12" s="12" t="s">
        <v>23</v>
      </c>
      <c r="E12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2964</v>
      </c>
      <c r="B1" s="291"/>
      <c r="C1" s="291"/>
      <c r="D1" s="291"/>
      <c r="E1" s="291"/>
      <c r="F1" s="291"/>
    </row>
    <row r="2" spans="1:7">
      <c r="A2" s="292" t="s">
        <v>2965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2842</v>
      </c>
      <c r="C4" s="102" t="s">
        <v>2843</v>
      </c>
      <c r="D4" s="102" t="s">
        <v>2966</v>
      </c>
      <c r="E4" s="102" t="s">
        <v>2844</v>
      </c>
      <c r="F4" s="102" t="s">
        <v>2967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5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7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4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5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4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2913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2968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2969</v>
      </c>
    </row>
    <row r="4" spans="1:8" ht="21.95" customHeight="1">
      <c r="A4" s="284" t="s">
        <v>2970</v>
      </c>
      <c r="B4" s="285"/>
      <c r="D4" s="284" t="s">
        <v>2971</v>
      </c>
      <c r="E4" s="285"/>
      <c r="G4" s="284" t="s">
        <v>2972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2973</v>
      </c>
      <c r="B7" s="143" t="s">
        <v>2974</v>
      </c>
      <c r="C7" s="143" t="s">
        <v>1</v>
      </c>
      <c r="D7" s="143" t="s">
        <v>2975</v>
      </c>
      <c r="E7" s="143" t="s">
        <v>2976</v>
      </c>
      <c r="F7" s="143" t="s">
        <v>2839</v>
      </c>
      <c r="G7" s="143" t="s">
        <v>5</v>
      </c>
      <c r="H7" s="143" t="s">
        <v>2977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